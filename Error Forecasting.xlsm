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bookViews>
    <workbookView xWindow="0" yWindow="360" windowWidth="10005" windowHeight="2220"/>
  </bookViews>
  <sheets>
    <sheet name="BLACK 6L" sheetId="2" r:id="rId1"/>
  </sheets>
  <calcPr calcId="145621" calcMode="manual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2" l="1"/>
  <c r="G40" i="2"/>
  <c r="E5" i="2"/>
  <c r="E4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40" i="2"/>
  <c r="K4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C43" i="2"/>
  <c r="G4" i="2"/>
  <c r="D5" i="2"/>
  <c r="D40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K6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F4" i="2"/>
  <c r="F5" i="2"/>
  <c r="F40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H5" i="2"/>
  <c r="H10" i="2"/>
  <c r="H14" i="2"/>
  <c r="H18" i="2"/>
  <c r="H22" i="2"/>
  <c r="H26" i="2"/>
  <c r="H30" i="2"/>
  <c r="H34" i="2"/>
  <c r="H38" i="2"/>
  <c r="H7" i="2"/>
  <c r="H11" i="2"/>
  <c r="H15" i="2"/>
  <c r="H19" i="2"/>
  <c r="H23" i="2"/>
  <c r="H27" i="2"/>
  <c r="H31" i="2"/>
  <c r="H35" i="2"/>
  <c r="H39" i="2"/>
  <c r="H8" i="2"/>
  <c r="H12" i="2"/>
  <c r="H16" i="2"/>
  <c r="H20" i="2"/>
  <c r="H24" i="2"/>
  <c r="H28" i="2"/>
  <c r="H32" i="2"/>
  <c r="H36" i="2"/>
  <c r="H4" i="2"/>
  <c r="H9" i="2"/>
  <c r="H13" i="2"/>
  <c r="H17" i="2"/>
  <c r="H21" i="2"/>
  <c r="H25" i="2"/>
  <c r="H29" i="2"/>
  <c r="H33" i="2"/>
  <c r="H37" i="2"/>
  <c r="K8" i="2"/>
  <c r="K10" i="2"/>
  <c r="K9" i="2"/>
  <c r="H6" i="2"/>
  <c r="K7" i="2"/>
  <c r="K5" i="2"/>
</calcChain>
</file>

<file path=xl/sharedStrings.xml><?xml version="1.0" encoding="utf-8"?>
<sst xmlns="http://schemas.openxmlformats.org/spreadsheetml/2006/main" count="61" uniqueCount="61">
  <si>
    <t>Period</t>
  </si>
  <si>
    <t>Error</t>
  </si>
  <si>
    <r>
      <t xml:space="preserve"> A</t>
    </r>
    <r>
      <rPr>
        <vertAlign val="subscript"/>
        <sz val="11"/>
        <color theme="1"/>
        <rFont val="Calibri"/>
        <family val="2"/>
        <scheme val="minor"/>
      </rPr>
      <t>t</t>
    </r>
  </si>
  <si>
    <r>
      <t>F</t>
    </r>
    <r>
      <rPr>
        <vertAlign val="subscript"/>
        <sz val="11"/>
        <color theme="1"/>
        <rFont val="Calibri"/>
        <family val="2"/>
        <scheme val="minor"/>
      </rPr>
      <t>t</t>
    </r>
  </si>
  <si>
    <r>
      <t xml:space="preserve"> A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-F</t>
    </r>
    <r>
      <rPr>
        <vertAlign val="subscript"/>
        <sz val="11"/>
        <color theme="1"/>
        <rFont val="Calibri"/>
        <family val="2"/>
        <scheme val="minor"/>
      </rPr>
      <t>t</t>
    </r>
  </si>
  <si>
    <t>Actual</t>
  </si>
  <si>
    <t>Forecast</t>
  </si>
  <si>
    <r>
      <t>| 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-F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|</t>
    </r>
  </si>
  <si>
    <t xml:space="preserve">Absolute Value of Error </t>
  </si>
  <si>
    <t>t</t>
  </si>
  <si>
    <r>
      <t>| (A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-F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)/A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|</t>
    </r>
  </si>
  <si>
    <t>MAD</t>
  </si>
  <si>
    <t>MSE</t>
  </si>
  <si>
    <t>MAPE</t>
  </si>
  <si>
    <t>Totals</t>
  </si>
  <si>
    <t>n</t>
  </si>
  <si>
    <t>Square  of Error</t>
  </si>
  <si>
    <r>
      <t>( 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-F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)^2</t>
    </r>
  </si>
  <si>
    <t>Absolute Values of Errors Divided by Actual Values.</t>
  </si>
  <si>
    <t>S.D</t>
  </si>
  <si>
    <t>BIAS</t>
  </si>
  <si>
    <t>RSFE</t>
  </si>
  <si>
    <t>T.S.</t>
  </si>
  <si>
    <t>Control Limit mechanism</t>
  </si>
  <si>
    <t>Absolute error &lt; MAD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</si>
  <si>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</si>
  <si>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</si>
  <si>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</si>
  <si>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</si>
  <si>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</si>
  <si>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</si>
  <si>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</si>
  <si>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</si>
  <si>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</si>
  <si>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</si>
  <si>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</si>
  <si>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</si>
  <si>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</si>
  <si>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</si>
  <si>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</si>
  <si>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</si>
  <si>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</si>
  <si>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</si>
  <si>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</si>
  <si>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</si>
  <si>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</si>
  <si>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2018 Jan</t>
  </si>
  <si>
    <t>2018 Feb</t>
  </si>
  <si>
    <t>2018 Mar</t>
  </si>
  <si>
    <t>2018 Apr</t>
  </si>
  <si>
    <t>2018 May</t>
  </si>
  <si>
    <t>2018 Jun</t>
  </si>
  <si>
    <t>2018 Jul</t>
  </si>
  <si>
    <t>2018 Aug</t>
  </si>
  <si>
    <t>2018 Sep</t>
  </si>
  <si>
    <t>2018 Oct</t>
  </si>
  <si>
    <t>2018 Nov</t>
  </si>
  <si>
    <t>2018 Dec</t>
  </si>
  <si>
    <t>2019 Jan</t>
  </si>
  <si>
    <t>2019 Feb</t>
  </si>
  <si>
    <t>2019 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</si>
</sst>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00000000000000"/>
    <numFmt numFmtId="167" formatCode="0.000000000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3" fillId="0" borderId="0" xfId="0" applyNumberFormat="1" applyFont="1"/>
    <xf numFmtId="1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2" fontId="3" fillId="2" borderId="6" xfId="0" applyNumberFormat="1" applyFont="1" applyFill="1" applyBorder="1"/>
    <xf numFmtId="0" fontId="3" fillId="2" borderId="6" xfId="0" applyFont="1" applyFill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" fontId="0" fillId="0" borderId="1" xfId="0" applyNumberFormat="1" applyBorder="1"/>
    <xf numFmtId="0" fontId="0" fillId="0" borderId="1" xfId="0" applyNumberFormat="1" applyBorder="1"/>
    <xf numFmtId="164" fontId="0" fillId="0" borderId="1" xfId="0" applyNumberFormat="1" applyBorder="1" applyAlignment="1">
      <alignment horizontal="center"/>
    </xf>
    <xf numFmtId="1" fontId="0" fillId="0" borderId="0" xfId="0" applyNumberFormat="1" applyBorder="1"/>
    <xf numFmtId="0" fontId="0" fillId="0" borderId="0" xfId="0" applyNumberFormat="1" applyBorder="1"/>
    <xf numFmtId="1" fontId="0" fillId="0" borderId="5" xfId="0" applyNumberFormat="1" applyBorder="1"/>
    <xf numFmtId="0" fontId="0" fillId="0" borderId="5" xfId="0" applyNumberFormat="1" applyBorder="1"/>
    <xf numFmtId="165" fontId="0" fillId="0" borderId="5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6" fontId="0" fillId="3" borderId="6" xfId="0" applyNumberFormat="1" applyFill="1" applyBorder="1" applyAlignment="1">
      <alignment horizontal="center"/>
    </xf>
    <xf numFmtId="166" fontId="0" fillId="3" borderId="6" xfId="1" applyNumberFormat="1" applyFont="1" applyFill="1" applyBorder="1" applyAlignment="1">
      <alignment horizontal="center"/>
    </xf>
    <xf numFmtId="167" fontId="0" fillId="0" borderId="6" xfId="0" applyNumberFormat="1" applyBorder="1"/>
    <xf numFmtId="0" fontId="0" fillId="0" borderId="4" xfId="0" applyBorder="1"/>
    <xf numFmtId="0" fontId="0" fillId="0" borderId="9" xfId="0" applyBorder="1" applyAlignment="1">
      <alignment horizontal="center"/>
    </xf>
    <xf numFmtId="165" fontId="3" fillId="0" borderId="5" xfId="0" applyNumberFormat="1" applyFont="1" applyBorder="1"/>
    <xf numFmtId="165" fontId="0" fillId="0" borderId="5" xfId="0" applyNumberFormat="1" applyBorder="1"/>
    <xf numFmtId="0" fontId="4" fillId="0" borderId="2" xfId="0" applyFont="1" applyFill="1" applyBorder="1"/>
    <xf numFmtId="0" fontId="0" fillId="0" borderId="3" xfId="0" applyBorder="1"/>
    <xf numFmtId="0" fontId="4" fillId="0" borderId="8" xfId="0" applyFont="1" applyFill="1" applyBorder="1"/>
    <xf numFmtId="0" fontId="0" fillId="0" borderId="7" xfId="0" applyBorder="1"/>
    <xf numFmtId="0" fontId="4" fillId="0" borderId="9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3"/>
  <sheetViews>
    <sheetView tabSelected="1" zoomScale="90" zoomScaleNormal="90" workbookViewId="0">
      <selection activeCell="R21" sqref="R21"/>
    </sheetView>
  </sheetViews>
  <sheetFormatPr defaultRowHeight="15" x14ac:dyDescent="0.25"/>
  <cols>
    <col min="1" max="1" width="9.28515625" customWidth="1"/>
    <col min="2" max="2" width="7.5703125" bestFit="1" customWidth="1"/>
    <col min="3" max="3" width="12" bestFit="1" customWidth="1"/>
    <col min="6" max="6" width="11.5703125" bestFit="1" customWidth="1"/>
    <col min="7" max="7" width="11.7109375" bestFit="1" customWidth="1"/>
    <col min="8" max="8" width="20.28515625" bestFit="1" customWidth="1"/>
    <col min="11" max="11" width="27.5703125" bestFit="1" customWidth="1"/>
  </cols>
  <sheetData>
    <row r="1" spans="1:11" x14ac:dyDescent="0.25">
      <c r="A1" s="1"/>
      <c r="B1" s="1"/>
      <c r="C1" s="1"/>
      <c r="D1" s="1"/>
      <c r="E1" s="1"/>
      <c r="F1" s="1"/>
      <c r="G1" s="1"/>
    </row>
    <row r="2" spans="1:11" ht="90" x14ac:dyDescent="0.25">
      <c r="A2" s="7" t="s">
        <v>0</v>
      </c>
      <c r="B2" s="8" t="s">
        <v>5</v>
      </c>
      <c r="C2" s="8" t="s">
        <v>6</v>
      </c>
      <c r="D2" s="8" t="s">
        <v>1</v>
      </c>
      <c r="E2" s="9" t="s">
        <v>8</v>
      </c>
      <c r="F2" s="9" t="s">
        <v>16</v>
      </c>
      <c r="G2" s="9" t="s">
        <v>18</v>
      </c>
      <c r="H2" s="10" t="s">
        <v>23</v>
      </c>
    </row>
    <row r="3" spans="1:11" ht="18" x14ac:dyDescent="0.35">
      <c r="A3" s="25" t="s">
        <v>9</v>
      </c>
      <c r="B3" s="23" t="s">
        <v>2</v>
      </c>
      <c r="C3" s="23" t="s">
        <v>3</v>
      </c>
      <c r="D3" s="23" t="s">
        <v>4</v>
      </c>
      <c r="E3" s="23" t="s">
        <v>7</v>
      </c>
      <c r="F3" s="23" t="s">
        <v>17</v>
      </c>
      <c r="G3" s="23" t="s">
        <v>10</v>
      </c>
      <c r="H3" s="24" t="s">
        <v>24</v>
      </c>
    </row>
    <row r="4" spans="1:11" x14ac:dyDescent="0.25">
      <c r="A4" s="34" t="s">
        <v>25</v>
      </c>
      <c r="B4" s="15">
        <v>58</v>
      </c>
      <c r="C4" s="16">
        <v>58</v>
      </c>
      <c r="D4" s="6">
        <f>B4-C4</f>
        <v>0</v>
      </c>
      <c r="E4" s="6">
        <f t="shared" ref="E4:E39" si="0">ABS(C4-B4)</f>
        <v>0</v>
      </c>
      <c r="F4" s="6">
        <f>D4^2</f>
        <v>0</v>
      </c>
      <c r="G4" s="17">
        <f>IFERROR(IF(ABS(B4-C4)/B4&lt;=0, 0, IF(ABS(B4-C4)/B4&gt;0,ABS(B4-C4)/B4,0)),0)</f>
        <v>0</v>
      </c>
      <c r="H4" s="35" t="str">
        <f>IF(E4&lt;$K$4, "OK", "Tripped")</f>
        <v>OK</v>
      </c>
      <c r="J4" s="11" t="s">
        <v>11</v>
      </c>
      <c r="K4" s="27">
        <f>E40/C43</f>
        <v>26.444444444444443</v>
      </c>
    </row>
    <row r="5" spans="1:11" x14ac:dyDescent="0.25">
      <c r="A5" s="36" t="s">
        <v>26</v>
      </c>
      <c r="B5" s="18">
        <v>26</v>
      </c>
      <c r="C5" s="19">
        <v>26</v>
      </c>
      <c r="D5" s="13">
        <f t="shared" ref="D5:D39" si="1">B5-C5</f>
        <v>0</v>
      </c>
      <c r="E5" s="13">
        <f t="shared" si="0"/>
        <v>0</v>
      </c>
      <c r="F5" s="13">
        <f t="shared" ref="F5:F39" si="2">D5^2</f>
        <v>0</v>
      </c>
      <c r="G5" s="14">
        <f t="shared" ref="G5:G39" si="3">IFERROR(IF(ABS(B5-C5)/B5&lt;=0, 0, IF(ABS(B5-C5)/B5&gt;0,ABS(B5-C5)/B5,0)),0)</f>
        <v>0</v>
      </c>
      <c r="H5" s="37" t="str">
        <f t="shared" ref="H5:H39" si="4">IF(E5&lt;$K$4, "OK", "Tripped")</f>
        <v>OK</v>
      </c>
      <c r="J5" s="11" t="s">
        <v>12</v>
      </c>
      <c r="K5" s="27">
        <f>F40/C43</f>
        <v>1457.7777777777778</v>
      </c>
    </row>
    <row r="6" spans="1:11" x14ac:dyDescent="0.25">
      <c r="A6" s="36" t="s">
        <v>27</v>
      </c>
      <c r="B6" s="18">
        <v>90</v>
      </c>
      <c r="C6" s="19">
        <v>0</v>
      </c>
      <c r="D6" s="13">
        <f t="shared" si="1"/>
        <v>90</v>
      </c>
      <c r="E6" s="13">
        <f t="shared" si="0"/>
        <v>90</v>
      </c>
      <c r="F6" s="13">
        <f t="shared" si="2"/>
        <v>8100</v>
      </c>
      <c r="G6" s="14">
        <f t="shared" si="3"/>
        <v>1</v>
      </c>
      <c r="H6" s="37" t="str">
        <f>IF(E6&lt;$K$4, "OK", "Tripped")</f>
        <v>Tripped</v>
      </c>
      <c r="J6" s="11" t="s">
        <v>13</v>
      </c>
      <c r="K6" s="28">
        <f>(G40/C43)*100</f>
        <v>98.213232497288217</v>
      </c>
    </row>
    <row r="7" spans="1:11" x14ac:dyDescent="0.25">
      <c r="A7" s="36" t="s">
        <v>28</v>
      </c>
      <c r="B7" s="18">
        <v>90</v>
      </c>
      <c r="C7" s="19">
        <v>0</v>
      </c>
      <c r="D7" s="13">
        <f t="shared" si="1"/>
        <v>90</v>
      </c>
      <c r="E7" s="13">
        <f t="shared" si="0"/>
        <v>90</v>
      </c>
      <c r="F7" s="13">
        <f t="shared" si="2"/>
        <v>8100</v>
      </c>
      <c r="G7" s="14">
        <f t="shared" si="3"/>
        <v>1</v>
      </c>
      <c r="H7" s="37" t="str">
        <f t="shared" si="4"/>
        <v>Tripped</v>
      </c>
      <c r="J7" s="11" t="s">
        <v>19</v>
      </c>
      <c r="K7" s="27">
        <f>SQRT((F40/(C43-1)))</f>
        <v>38.722455648222663</v>
      </c>
    </row>
    <row r="8" spans="1:11" x14ac:dyDescent="0.25">
      <c r="A8" s="36" t="s">
        <v>29</v>
      </c>
      <c r="B8" s="18">
        <v>90</v>
      </c>
      <c r="C8" s="19">
        <v>0</v>
      </c>
      <c r="D8" s="13">
        <f t="shared" si="1"/>
        <v>90</v>
      </c>
      <c r="E8" s="13">
        <f t="shared" si="0"/>
        <v>90</v>
      </c>
      <c r="F8" s="13">
        <f t="shared" si="2"/>
        <v>8100</v>
      </c>
      <c r="G8" s="14">
        <f t="shared" si="3"/>
        <v>1</v>
      </c>
      <c r="H8" s="37" t="str">
        <f t="shared" si="4"/>
        <v>Tripped</v>
      </c>
      <c r="J8" s="12" t="s">
        <v>21</v>
      </c>
      <c r="K8" s="27">
        <f>D40</f>
        <v>610</v>
      </c>
    </row>
    <row r="9" spans="1:11" x14ac:dyDescent="0.25">
      <c r="A9" s="36" t="s">
        <v>30</v>
      </c>
      <c r="B9" s="18">
        <v>70</v>
      </c>
      <c r="C9" s="19">
        <v>0</v>
      </c>
      <c r="D9" s="13">
        <f t="shared" si="1"/>
        <v>70</v>
      </c>
      <c r="E9" s="13">
        <f t="shared" si="0"/>
        <v>70</v>
      </c>
      <c r="F9" s="13">
        <f t="shared" si="2"/>
        <v>4900</v>
      </c>
      <c r="G9" s="14">
        <f t="shared" si="3"/>
        <v>1</v>
      </c>
      <c r="H9" s="37" t="str">
        <f t="shared" si="4"/>
        <v>Tripped</v>
      </c>
      <c r="J9" s="11" t="s">
        <v>20</v>
      </c>
      <c r="K9" s="29">
        <f>D40/C43</f>
        <v>16.944444444444443</v>
      </c>
    </row>
    <row r="10" spans="1:11" x14ac:dyDescent="0.25">
      <c r="A10" s="36" t="s">
        <v>31</v>
      </c>
      <c r="B10" s="18">
        <v>60</v>
      </c>
      <c r="C10" s="19">
        <v>13</v>
      </c>
      <c r="D10" s="13">
        <f t="shared" si="1"/>
        <v>47</v>
      </c>
      <c r="E10" s="13">
        <f t="shared" si="0"/>
        <v>47</v>
      </c>
      <c r="F10" s="13">
        <f t="shared" si="2"/>
        <v>2209</v>
      </c>
      <c r="G10" s="14">
        <f t="shared" si="3"/>
        <v>0.78333333333333333</v>
      </c>
      <c r="H10" s="37" t="str">
        <f t="shared" si="4"/>
        <v>Tripped</v>
      </c>
      <c r="J10" s="11" t="s">
        <v>22</v>
      </c>
      <c r="K10" s="27">
        <f>K8/K4</f>
        <v>23.067226890756302</v>
      </c>
    </row>
    <row r="11" spans="1:11" x14ac:dyDescent="0.25">
      <c r="A11" s="36" t="s">
        <v>32</v>
      </c>
      <c r="B11" s="18">
        <v>60</v>
      </c>
      <c r="C11" s="19">
        <v>0</v>
      </c>
      <c r="D11" s="13">
        <f t="shared" si="1"/>
        <v>60</v>
      </c>
      <c r="E11" s="13">
        <f t="shared" si="0"/>
        <v>60</v>
      </c>
      <c r="F11" s="13">
        <f t="shared" si="2"/>
        <v>3600</v>
      </c>
      <c r="G11" s="14">
        <f t="shared" si="3"/>
        <v>1</v>
      </c>
      <c r="H11" s="37" t="str">
        <f t="shared" si="4"/>
        <v>Tripped</v>
      </c>
    </row>
    <row r="12" spans="1:11" x14ac:dyDescent="0.25">
      <c r="A12" s="36" t="s">
        <v>33</v>
      </c>
      <c r="B12" s="18">
        <v>60</v>
      </c>
      <c r="C12" s="19">
        <v>0</v>
      </c>
      <c r="D12" s="13">
        <f t="shared" si="1"/>
        <v>60</v>
      </c>
      <c r="E12" s="13">
        <f t="shared" si="0"/>
        <v>60</v>
      </c>
      <c r="F12" s="13">
        <f t="shared" si="2"/>
        <v>3600</v>
      </c>
      <c r="G12" s="14">
        <f t="shared" si="3"/>
        <v>1</v>
      </c>
      <c r="H12" s="37" t="str">
        <f t="shared" si="4"/>
        <v>Tripped</v>
      </c>
    </row>
    <row r="13" spans="1:11" x14ac:dyDescent="0.25">
      <c r="A13" s="36" t="s">
        <v>34</v>
      </c>
      <c r="B13" s="18">
        <v>20</v>
      </c>
      <c r="C13" s="19">
        <v>20</v>
      </c>
      <c r="D13" s="13">
        <f t="shared" si="1"/>
        <v>0</v>
      </c>
      <c r="E13" s="13">
        <f t="shared" si="0"/>
        <v>0</v>
      </c>
      <c r="F13" s="13">
        <f t="shared" si="2"/>
        <v>0</v>
      </c>
      <c r="G13" s="14">
        <f t="shared" si="3"/>
        <v>0</v>
      </c>
      <c r="H13" s="37" t="str">
        <f t="shared" si="4"/>
        <v>OK</v>
      </c>
    </row>
    <row r="14" spans="1:11" x14ac:dyDescent="0.25">
      <c r="A14" s="36" t="s">
        <v>35</v>
      </c>
      <c r="B14" s="18">
        <v>10</v>
      </c>
      <c r="C14" s="19">
        <v>31</v>
      </c>
      <c r="D14" s="13">
        <f t="shared" si="1"/>
        <v>-21</v>
      </c>
      <c r="E14" s="13">
        <f t="shared" si="0"/>
        <v>21</v>
      </c>
      <c r="F14" s="13">
        <f t="shared" si="2"/>
        <v>441</v>
      </c>
      <c r="G14" s="14">
        <f t="shared" si="3"/>
        <v>2.1</v>
      </c>
      <c r="H14" s="37" t="str">
        <f t="shared" si="4"/>
        <v>OK</v>
      </c>
    </row>
    <row r="15" spans="1:11" x14ac:dyDescent="0.25">
      <c r="A15" s="36" t="s">
        <v>36</v>
      </c>
      <c r="B15" s="18">
        <v>10</v>
      </c>
      <c r="C15" s="19">
        <v>50</v>
      </c>
      <c r="D15" s="13">
        <f t="shared" si="1"/>
        <v>-40</v>
      </c>
      <c r="E15" s="13">
        <f t="shared" si="0"/>
        <v>40</v>
      </c>
      <c r="F15" s="13">
        <f t="shared" si="2"/>
        <v>1600</v>
      </c>
      <c r="G15" s="14">
        <f t="shared" si="3"/>
        <v>4</v>
      </c>
      <c r="H15" s="37" t="str">
        <f t="shared" si="4"/>
        <v>Tripped</v>
      </c>
    </row>
    <row r="16" spans="1:11" x14ac:dyDescent="0.25">
      <c r="A16" s="36" t="s">
        <v>37</v>
      </c>
      <c r="B16" s="18">
        <v>10</v>
      </c>
      <c r="C16" s="19">
        <v>24</v>
      </c>
      <c r="D16" s="13">
        <f t="shared" si="1"/>
        <v>-14</v>
      </c>
      <c r="E16" s="13">
        <f t="shared" si="0"/>
        <v>14</v>
      </c>
      <c r="F16" s="13">
        <f t="shared" si="2"/>
        <v>196</v>
      </c>
      <c r="G16" s="14">
        <f t="shared" si="3"/>
        <v>1.4</v>
      </c>
      <c r="H16" s="37" t="str">
        <f t="shared" si="4"/>
        <v>OK</v>
      </c>
    </row>
    <row r="17" spans="1:8" x14ac:dyDescent="0.25">
      <c r="A17" s="36" t="s">
        <v>38</v>
      </c>
      <c r="B17" s="18">
        <v>10</v>
      </c>
      <c r="C17" s="19">
        <v>70</v>
      </c>
      <c r="D17" s="13">
        <f t="shared" si="1"/>
        <v>-60</v>
      </c>
      <c r="E17" s="13">
        <f t="shared" si="0"/>
        <v>60</v>
      </c>
      <c r="F17" s="13">
        <f t="shared" si="2"/>
        <v>3600</v>
      </c>
      <c r="G17" s="14">
        <f t="shared" si="3"/>
        <v>6</v>
      </c>
      <c r="H17" s="37" t="str">
        <f t="shared" si="4"/>
        <v>Tripped</v>
      </c>
    </row>
    <row r="18" spans="1:8" x14ac:dyDescent="0.25">
      <c r="A18" s="36" t="s">
        <v>39</v>
      </c>
      <c r="B18" s="18">
        <v>10</v>
      </c>
      <c r="C18" s="19">
        <v>8</v>
      </c>
      <c r="D18" s="13">
        <f t="shared" si="1"/>
        <v>2</v>
      </c>
      <c r="E18" s="13">
        <f t="shared" si="0"/>
        <v>2</v>
      </c>
      <c r="F18" s="13">
        <f t="shared" si="2"/>
        <v>4</v>
      </c>
      <c r="G18" s="14">
        <f t="shared" si="3"/>
        <v>0.2</v>
      </c>
      <c r="H18" s="37" t="str">
        <f t="shared" si="4"/>
        <v>OK</v>
      </c>
    </row>
    <row r="19" spans="1:8" x14ac:dyDescent="0.25">
      <c r="A19" s="36" t="s">
        <v>40</v>
      </c>
      <c r="B19" s="18">
        <v>12</v>
      </c>
      <c r="C19" s="19">
        <v>11</v>
      </c>
      <c r="D19" s="13">
        <f t="shared" si="1"/>
        <v>1</v>
      </c>
      <c r="E19" s="13">
        <f t="shared" si="0"/>
        <v>1</v>
      </c>
      <c r="F19" s="13">
        <f t="shared" si="2"/>
        <v>1</v>
      </c>
      <c r="G19" s="14">
        <f t="shared" si="3"/>
        <v>8.3333333333333329E-2</v>
      </c>
      <c r="H19" s="37" t="str">
        <f t="shared" si="4"/>
        <v>OK</v>
      </c>
    </row>
    <row r="20" spans="1:8" x14ac:dyDescent="0.25">
      <c r="A20" s="36" t="s">
        <v>41</v>
      </c>
      <c r="B20" s="18">
        <v>8</v>
      </c>
      <c r="C20" s="19">
        <v>10</v>
      </c>
      <c r="D20" s="13">
        <f t="shared" si="1"/>
        <v>-2</v>
      </c>
      <c r="E20" s="13">
        <f t="shared" si="0"/>
        <v>2</v>
      </c>
      <c r="F20" s="13">
        <f t="shared" si="2"/>
        <v>4</v>
      </c>
      <c r="G20" s="14">
        <f t="shared" si="3"/>
        <v>0.25</v>
      </c>
      <c r="H20" s="37" t="str">
        <f t="shared" si="4"/>
        <v>OK</v>
      </c>
    </row>
    <row r="21" spans="1:8" x14ac:dyDescent="0.25">
      <c r="A21" s="36" t="s">
        <v>42</v>
      </c>
      <c r="B21" s="18">
        <v>3</v>
      </c>
      <c r="C21" s="19">
        <v>20</v>
      </c>
      <c r="D21" s="13">
        <f t="shared" si="1"/>
        <v>-17</v>
      </c>
      <c r="E21" s="13">
        <f t="shared" si="0"/>
        <v>17</v>
      </c>
      <c r="F21" s="13">
        <f t="shared" si="2"/>
        <v>289</v>
      </c>
      <c r="G21" s="14">
        <f t="shared" si="3"/>
        <v>5.666666666666667</v>
      </c>
      <c r="H21" s="37" t="str">
        <f t="shared" si="4"/>
        <v>OK</v>
      </c>
    </row>
    <row r="22" spans="1:8" x14ac:dyDescent="0.25">
      <c r="A22" s="36" t="s">
        <v>43</v>
      </c>
      <c r="B22" s="18">
        <v>20</v>
      </c>
      <c r="C22" s="19">
        <v>10</v>
      </c>
      <c r="D22" s="13">
        <f t="shared" si="1"/>
        <v>10</v>
      </c>
      <c r="E22" s="13">
        <f t="shared" si="0"/>
        <v>10</v>
      </c>
      <c r="F22" s="13">
        <f t="shared" si="2"/>
        <v>100</v>
      </c>
      <c r="G22" s="14">
        <f t="shared" si="3"/>
        <v>0.5</v>
      </c>
      <c r="H22" s="37" t="str">
        <f t="shared" si="4"/>
        <v>OK</v>
      </c>
    </row>
    <row r="23" spans="1:8" x14ac:dyDescent="0.25">
      <c r="A23" s="36" t="s">
        <v>44</v>
      </c>
      <c r="B23" s="18">
        <v>28</v>
      </c>
      <c r="C23" s="19">
        <v>20</v>
      </c>
      <c r="D23" s="13">
        <f t="shared" si="1"/>
        <v>8</v>
      </c>
      <c r="E23" s="13">
        <f t="shared" si="0"/>
        <v>8</v>
      </c>
      <c r="F23" s="13">
        <f t="shared" si="2"/>
        <v>64</v>
      </c>
      <c r="G23" s="14">
        <f t="shared" si="3"/>
        <v>0.2857142857142857</v>
      </c>
      <c r="H23" s="37" t="str">
        <f t="shared" si="4"/>
        <v>OK</v>
      </c>
    </row>
    <row r="24" spans="1:8" x14ac:dyDescent="0.25">
      <c r="A24" s="36" t="s">
        <v>45</v>
      </c>
      <c r="B24" s="18">
        <v>30</v>
      </c>
      <c r="C24" s="19">
        <v>25</v>
      </c>
      <c r="D24" s="13">
        <f t="shared" si="1"/>
        <v>5</v>
      </c>
      <c r="E24" s="13">
        <f t="shared" si="0"/>
        <v>5</v>
      </c>
      <c r="F24" s="13">
        <f t="shared" si="2"/>
        <v>25</v>
      </c>
      <c r="G24" s="14">
        <f t="shared" si="3"/>
        <v>0.16666666666666666</v>
      </c>
      <c r="H24" s="37" t="str">
        <f t="shared" si="4"/>
        <v>OK</v>
      </c>
    </row>
    <row r="25" spans="1:8" x14ac:dyDescent="0.25">
      <c r="A25" s="36" t="s">
        <v>46</v>
      </c>
      <c r="B25" s="18">
        <v>26</v>
      </c>
      <c r="C25" s="19">
        <v>10</v>
      </c>
      <c r="D25" s="13">
        <f t="shared" si="1"/>
        <v>16</v>
      </c>
      <c r="E25" s="13">
        <f t="shared" si="0"/>
        <v>16</v>
      </c>
      <c r="F25" s="13">
        <f t="shared" si="2"/>
        <v>256</v>
      </c>
      <c r="G25" s="14">
        <f t="shared" si="3"/>
        <v>0.61538461538461542</v>
      </c>
      <c r="H25" s="37" t="str">
        <f t="shared" si="4"/>
        <v>OK</v>
      </c>
    </row>
    <row r="26" spans="1:8" x14ac:dyDescent="0.25">
      <c r="A26" s="36" t="s">
        <v>47</v>
      </c>
      <c r="B26" s="18">
        <v>51</v>
      </c>
      <c r="C26" s="19">
        <v>25</v>
      </c>
      <c r="D26" s="13">
        <f t="shared" si="1"/>
        <v>26</v>
      </c>
      <c r="E26" s="13">
        <f t="shared" si="0"/>
        <v>26</v>
      </c>
      <c r="F26" s="13">
        <f t="shared" si="2"/>
        <v>676</v>
      </c>
      <c r="G26" s="14">
        <f t="shared" si="3"/>
        <v>0.50980392156862742</v>
      </c>
      <c r="H26" s="37" t="str">
        <f t="shared" si="4"/>
        <v>OK</v>
      </c>
    </row>
    <row r="27" spans="1:8" x14ac:dyDescent="0.25">
      <c r="A27" s="36" t="s">
        <v>48</v>
      </c>
      <c r="B27" s="18">
        <v>36</v>
      </c>
      <c r="C27" s="19">
        <v>15</v>
      </c>
      <c r="D27" s="13">
        <f t="shared" si="1"/>
        <v>21</v>
      </c>
      <c r="E27" s="13">
        <f t="shared" si="0"/>
        <v>21</v>
      </c>
      <c r="F27" s="13">
        <f t="shared" si="2"/>
        <v>441</v>
      </c>
      <c r="G27" s="14">
        <f t="shared" si="3"/>
        <v>0.58333333333333337</v>
      </c>
      <c r="H27" s="37" t="str">
        <f t="shared" si="4"/>
        <v>OK</v>
      </c>
    </row>
    <row r="28" spans="1:8" x14ac:dyDescent="0.25">
      <c r="A28" s="36" t="s">
        <v>49</v>
      </c>
      <c r="B28" s="18">
        <v>36</v>
      </c>
      <c r="C28" s="19">
        <v>0</v>
      </c>
      <c r="D28" s="13">
        <f t="shared" si="1"/>
        <v>36</v>
      </c>
      <c r="E28" s="13">
        <f t="shared" si="0"/>
        <v>36</v>
      </c>
      <c r="F28" s="13">
        <f t="shared" si="2"/>
        <v>1296</v>
      </c>
      <c r="G28" s="14">
        <f t="shared" si="3"/>
        <v>1</v>
      </c>
      <c r="H28" s="37" t="str">
        <f t="shared" si="4"/>
        <v>Tripped</v>
      </c>
    </row>
    <row r="29" spans="1:8" x14ac:dyDescent="0.25">
      <c r="A29" s="36" t="s">
        <v>50</v>
      </c>
      <c r="B29" s="18">
        <v>37</v>
      </c>
      <c r="C29" s="19">
        <v>36</v>
      </c>
      <c r="D29" s="13">
        <f t="shared" si="1"/>
        <v>1</v>
      </c>
      <c r="E29" s="13">
        <f t="shared" si="0"/>
        <v>1</v>
      </c>
      <c r="F29" s="13">
        <f t="shared" si="2"/>
        <v>1</v>
      </c>
      <c r="G29" s="14">
        <f t="shared" si="3"/>
        <v>2.7027027027027029E-2</v>
      </c>
      <c r="H29" s="37" t="str">
        <f t="shared" si="4"/>
        <v>OK</v>
      </c>
    </row>
    <row r="30" spans="1:8" x14ac:dyDescent="0.25">
      <c r="A30" s="36" t="s">
        <v>51</v>
      </c>
      <c r="B30" s="18">
        <v>38</v>
      </c>
      <c r="C30" s="19">
        <v>10</v>
      </c>
      <c r="D30" s="13">
        <f t="shared" si="1"/>
        <v>28</v>
      </c>
      <c r="E30" s="13">
        <f t="shared" si="0"/>
        <v>28</v>
      </c>
      <c r="F30" s="13">
        <f t="shared" si="2"/>
        <v>784</v>
      </c>
      <c r="G30" s="14">
        <f t="shared" si="3"/>
        <v>0.73684210526315785</v>
      </c>
      <c r="H30" s="37" t="str">
        <f t="shared" si="4"/>
        <v>Tripped</v>
      </c>
    </row>
    <row r="31" spans="1:8" x14ac:dyDescent="0.25">
      <c r="A31" s="36" t="s">
        <v>52</v>
      </c>
      <c r="B31" s="18">
        <v>24</v>
      </c>
      <c r="C31" s="19">
        <v>20</v>
      </c>
      <c r="D31" s="13">
        <f t="shared" si="1"/>
        <v>4</v>
      </c>
      <c r="E31" s="13">
        <f t="shared" si="0"/>
        <v>4</v>
      </c>
      <c r="F31" s="13">
        <f t="shared" si="2"/>
        <v>16</v>
      </c>
      <c r="G31" s="14">
        <f t="shared" si="3"/>
        <v>0.16666666666666666</v>
      </c>
      <c r="H31" s="37" t="str">
        <f t="shared" si="4"/>
        <v>OK</v>
      </c>
    </row>
    <row r="32" spans="1:8" x14ac:dyDescent="0.25">
      <c r="A32" s="36" t="s">
        <v>53</v>
      </c>
      <c r="B32" s="18">
        <v>60</v>
      </c>
      <c r="C32" s="19">
        <v>15</v>
      </c>
      <c r="D32" s="13">
        <f t="shared" si="1"/>
        <v>45</v>
      </c>
      <c r="E32" s="13">
        <f t="shared" si="0"/>
        <v>45</v>
      </c>
      <c r="F32" s="13">
        <f t="shared" si="2"/>
        <v>2025</v>
      </c>
      <c r="G32" s="14">
        <f t="shared" si="3"/>
        <v>0.75</v>
      </c>
      <c r="H32" s="37" t="str">
        <f t="shared" si="4"/>
        <v>Tripped</v>
      </c>
    </row>
    <row r="33" spans="1:8" x14ac:dyDescent="0.25">
      <c r="A33" s="36" t="s">
        <v>54</v>
      </c>
      <c r="B33" s="18">
        <v>40</v>
      </c>
      <c r="C33" s="19">
        <v>0</v>
      </c>
      <c r="D33" s="13">
        <f t="shared" si="1"/>
        <v>40</v>
      </c>
      <c r="E33" s="13">
        <f t="shared" si="0"/>
        <v>40</v>
      </c>
      <c r="F33" s="13">
        <f t="shared" si="2"/>
        <v>1600</v>
      </c>
      <c r="G33" s="14">
        <f t="shared" si="3"/>
        <v>1</v>
      </c>
      <c r="H33" s="37" t="str">
        <f t="shared" si="4"/>
        <v>Tripped</v>
      </c>
    </row>
    <row r="34" spans="1:8" x14ac:dyDescent="0.25">
      <c r="A34" s="36" t="s">
        <v>55</v>
      </c>
      <c r="B34" s="18">
        <v>19</v>
      </c>
      <c r="C34" s="19">
        <v>2</v>
      </c>
      <c r="D34" s="13">
        <f t="shared" si="1"/>
        <v>17</v>
      </c>
      <c r="E34" s="13">
        <f t="shared" si="0"/>
        <v>17</v>
      </c>
      <c r="F34" s="13">
        <f t="shared" si="2"/>
        <v>289</v>
      </c>
      <c r="G34" s="14">
        <f t="shared" si="3"/>
        <v>0.89473684210526316</v>
      </c>
      <c r="H34" s="37" t="str">
        <f t="shared" si="4"/>
        <v>OK</v>
      </c>
    </row>
    <row r="35" spans="1:8" x14ac:dyDescent="0.25">
      <c r="A35" s="36" t="s">
        <v>56</v>
      </c>
      <c r="B35" s="18">
        <v>17</v>
      </c>
      <c r="C35" s="19">
        <v>25</v>
      </c>
      <c r="D35" s="13">
        <f t="shared" si="1"/>
        <v>-8</v>
      </c>
      <c r="E35" s="13">
        <f t="shared" si="0"/>
        <v>8</v>
      </c>
      <c r="F35" s="13">
        <f t="shared" si="2"/>
        <v>64</v>
      </c>
      <c r="G35" s="14">
        <f t="shared" si="3"/>
        <v>0.47058823529411764</v>
      </c>
      <c r="H35" s="37" t="str">
        <f t="shared" si="4"/>
        <v>OK</v>
      </c>
    </row>
    <row r="36" spans="1:8" x14ac:dyDescent="0.25">
      <c r="A36" s="36" t="s">
        <v>57</v>
      </c>
      <c r="B36" s="18">
        <v>0</v>
      </c>
      <c r="C36" s="19">
        <v>1</v>
      </c>
      <c r="D36" s="13">
        <f>B36-C36</f>
        <v>-1</v>
      </c>
      <c r="E36" s="13">
        <f t="shared" si="0"/>
        <v>1</v>
      </c>
      <c r="F36" s="13">
        <f t="shared" si="2"/>
        <v>1</v>
      </c>
      <c r="G36" s="14">
        <f t="shared" si="3"/>
        <v>0</v>
      </c>
      <c r="H36" s="37" t="str">
        <f t="shared" si="4"/>
        <v>OK</v>
      </c>
    </row>
    <row r="37" spans="1:8" x14ac:dyDescent="0.25">
      <c r="A37" s="36" t="s">
        <v>58</v>
      </c>
      <c r="B37" s="18">
        <v>12</v>
      </c>
      <c r="C37" s="19">
        <v>5</v>
      </c>
      <c r="D37" s="13">
        <f t="shared" si="1"/>
        <v>7</v>
      </c>
      <c r="E37" s="13">
        <f t="shared" si="0"/>
        <v>7</v>
      </c>
      <c r="F37" s="13">
        <f t="shared" si="2"/>
        <v>49</v>
      </c>
      <c r="G37" s="14">
        <f t="shared" si="3"/>
        <v>0.58333333333333337</v>
      </c>
      <c r="H37" s="37" t="str">
        <f t="shared" si="4"/>
        <v>OK</v>
      </c>
    </row>
    <row r="38" spans="1:8" x14ac:dyDescent="0.25">
      <c r="A38" s="36" t="s">
        <v>59</v>
      </c>
      <c r="B38" s="18">
        <v>12</v>
      </c>
      <c r="C38" s="19">
        <v>5</v>
      </c>
      <c r="D38" s="13">
        <f t="shared" si="1"/>
        <v>7</v>
      </c>
      <c r="E38" s="13">
        <f t="shared" si="0"/>
        <v>7</v>
      </c>
      <c r="F38" s="13">
        <f t="shared" si="2"/>
        <v>49</v>
      </c>
      <c r="G38" s="14">
        <f t="shared" si="3"/>
        <v>0.58333333333333337</v>
      </c>
      <c r="H38" s="37" t="str">
        <f t="shared" si="4"/>
        <v>OK</v>
      </c>
    </row>
    <row r="39" spans="1:8" x14ac:dyDescent="0.25">
      <c r="A39" s="38" t="s">
        <v>60</v>
      </c>
      <c r="B39" s="20">
        <v>0</v>
      </c>
      <c r="C39" s="21">
        <v>8</v>
      </c>
      <c r="D39" s="22">
        <f t="shared" si="1"/>
        <v>-8</v>
      </c>
      <c r="E39" s="22">
        <f t="shared" si="0"/>
        <v>8</v>
      </c>
      <c r="F39" s="22">
        <f t="shared" si="2"/>
        <v>64</v>
      </c>
      <c r="G39" s="26">
        <f t="shared" si="3"/>
        <v>0</v>
      </c>
      <c r="H39" s="30" t="str">
        <f t="shared" si="4"/>
        <v>OK</v>
      </c>
    </row>
    <row r="40" spans="1:8" x14ac:dyDescent="0.25">
      <c r="A40" s="31"/>
      <c r="B40" s="32" t="s">
        <v>14</v>
      </c>
      <c r="C40" s="33"/>
      <c r="D40" s="22">
        <f>SUM(D4:D39)</f>
        <v>610</v>
      </c>
      <c r="E40" s="22">
        <f>SUM(E4:E39)</f>
        <v>952</v>
      </c>
      <c r="F40" s="22">
        <f>SUM(F4:F38)</f>
        <v>52480</v>
      </c>
      <c r="G40" s="22">
        <f>SUM(G4:G39)</f>
        <v>35.356763699023759</v>
      </c>
      <c r="H40" s="30"/>
    </row>
    <row r="41" spans="1:8" x14ac:dyDescent="0.25">
      <c r="A41" s="1"/>
      <c r="D41" s="1"/>
      <c r="E41" s="3"/>
      <c r="F41" s="3"/>
      <c r="G41" s="2"/>
    </row>
    <row r="43" spans="1:8" x14ac:dyDescent="0.25">
      <c r="B43" s="4" t="s">
        <v>15</v>
      </c>
      <c r="C43" s="5">
        <f>COUNT(B4:B39)</f>
        <v>36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 6L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 Wright</dc:creator>
  <cp:lastModifiedBy>(TEMP) ONG ZHEN YANG</cp:lastModifiedBy>
  <dcterms:created xsi:type="dcterms:W3CDTF">2016-02-21T04:01:15Z</dcterms:created>
  <dcterms:modified xsi:type="dcterms:W3CDTF">2019-04-22T06:43:58Z</dcterms:modified>
</cp:coreProperties>
</file>
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ngzh\Downloads\"/>
    </mc:Choice>
  </mc:AlternateContent>
  <bookViews>
    <workbookView xWindow="0" yWindow="0" windowWidth="16780" windowHeight="6500" tabRatio="723"/>
  </bookViews>
  <sheets>
    <sheet name="Forecasting Table" sheetId="24" r:id="rId1"/>
    <sheet name="Forecasting Chart" sheetId="25" r:id="rId2"/>
    <sheet name="Sales Forecast" sheetId="28" r:id="rId3"/>
    <sheet name="SKU List" sheetId="26" r:id="rId4"/>
  </sheets>
  <definedNames>
    <definedName name="_xlnm.Print_Area" localSheetId="2">'Sales Forecast'!$B$3:$AE$11</definedName>
    <definedName name="solver_eng" localSheetId="0" hidden="1">2</definedName>
    <definedName name="solver_neg" localSheetId="0" hidden="1">1</definedName>
    <definedName name="solver_num" localSheetId="0" hidden="1">0</definedName>
    <definedName name="solver_typ" localSheetId="0" hidden="1">1</definedName>
    <definedName name="solver_val" localSheetId="0" hidden="1">0</definedName>
    <definedName name="solver_ver" localSheetId="0" hidden="1">3</definedName>
    <definedName name="valuevx">42.314159</definedName>
    <definedName name="vertex42_copyright" hidden="1">"© 2016 Vertex42 LLC"</definedName>
    <definedName name="vertex42_id" hidden="1">"sales-forecast.xlsx"</definedName>
    <definedName name="vertex42_title" hidden="1">"Sales Forecast Template"</definedName>
  </definedNames>
  <calcPr calcId="162913" concurrentCalc="0"/>
</workbook>
</file>

<file path=xl/calcChain.xml><?xml version="1.0" encoding="utf-8"?>
<calcChain xmlns="http://schemas.openxmlformats.org/spreadsheetml/2006/main">
  <c r="B22" i="24" l="1"/>
  <c r="B23" i="24"/>
  <c r="B20" i="24"/>
  <c r="B19" i="24"/>
  <c r="B18" i="24"/>
  <c r="B17" i="24"/>
  <c r="B16" i="24"/>
  <c r="B15" i="24"/>
  <c r="B14" i="24"/>
  <c r="B13" i="24"/>
  <c r="B12" i="24"/>
  <c r="B11" i="24"/>
  <c r="B10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M16" i="24"/>
  <c r="G23" i="24"/>
  <c r="D15" i="28"/>
  <c r="D18" i="28"/>
  <c r="D19" i="28"/>
  <c r="B24" i="24"/>
  <c r="G24" i="24"/>
  <c r="E15" i="28"/>
  <c r="E18" i="28"/>
  <c r="E19" i="28"/>
  <c r="B25" i="24"/>
  <c r="G25" i="24"/>
  <c r="F15" i="28"/>
  <c r="F18" i="28"/>
  <c r="F19" i="28"/>
  <c r="B26" i="24"/>
  <c r="G26" i="24"/>
  <c r="G15" i="28"/>
  <c r="G18" i="28"/>
  <c r="G19" i="28"/>
  <c r="B27" i="24"/>
  <c r="G27" i="24"/>
  <c r="H15" i="28"/>
  <c r="H18" i="28"/>
  <c r="H19" i="28"/>
  <c r="B28" i="24"/>
  <c r="G28" i="24"/>
  <c r="I15" i="28"/>
  <c r="I18" i="28"/>
  <c r="I19" i="28"/>
  <c r="B29" i="24"/>
  <c r="G29" i="24"/>
  <c r="J15" i="28"/>
  <c r="J18" i="28"/>
  <c r="J19" i="28"/>
  <c r="B30" i="24"/>
  <c r="G30" i="24"/>
  <c r="K15" i="28"/>
  <c r="K18" i="28"/>
  <c r="K19" i="28"/>
  <c r="B31" i="24"/>
  <c r="G31" i="24"/>
  <c r="L15" i="28"/>
  <c r="L18" i="28"/>
  <c r="L19" i="28"/>
  <c r="B32" i="24"/>
  <c r="G32" i="24"/>
  <c r="M15" i="28"/>
  <c r="M18" i="28"/>
  <c r="M19" i="28"/>
  <c r="B33" i="24"/>
  <c r="G33" i="24"/>
  <c r="N15" i="28"/>
  <c r="N18" i="28"/>
  <c r="N19" i="28"/>
  <c r="G22" i="24"/>
  <c r="C15" i="28"/>
  <c r="C18" i="28"/>
  <c r="C19" i="28"/>
  <c r="I23" i="24"/>
  <c r="F23" i="24"/>
  <c r="I24" i="24"/>
  <c r="F24" i="24"/>
  <c r="I25" i="24"/>
  <c r="F25" i="24"/>
  <c r="I26" i="24"/>
  <c r="F26" i="24"/>
  <c r="I27" i="24"/>
  <c r="F27" i="24"/>
  <c r="I28" i="24"/>
  <c r="F28" i="24"/>
  <c r="I29" i="24"/>
  <c r="F29" i="24"/>
  <c r="I30" i="24"/>
  <c r="F30" i="24"/>
  <c r="I31" i="24"/>
  <c r="F31" i="24"/>
  <c r="I32" i="24"/>
  <c r="F32" i="24"/>
  <c r="I33" i="24"/>
  <c r="F33" i="24"/>
  <c r="I22" i="24"/>
  <c r="F22" i="24"/>
  <c r="B1" i="26"/>
  <c r="C10" i="24"/>
  <c r="C11" i="24"/>
  <c r="C12" i="24"/>
  <c r="C13" i="24"/>
  <c r="C14" i="24"/>
  <c r="C15" i="24"/>
  <c r="C16" i="24"/>
  <c r="C17" i="24"/>
  <c r="C18" i="24"/>
  <c r="C19" i="24"/>
  <c r="C20" i="24"/>
  <c r="C21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C22" i="24"/>
  <c r="E22" i="24"/>
  <c r="N23" i="24"/>
  <c r="Q23" i="24"/>
  <c r="F21" i="24"/>
  <c r="H23" i="24"/>
  <c r="H24" i="24"/>
  <c r="H25" i="24"/>
  <c r="H26" i="24"/>
  <c r="H27" i="24"/>
  <c r="H28" i="24"/>
  <c r="H29" i="24"/>
  <c r="H30" i="24"/>
  <c r="H31" i="24"/>
  <c r="H32" i="24"/>
  <c r="H33" i="24"/>
  <c r="H22" i="24"/>
  <c r="I21" i="24"/>
  <c r="G21" i="24"/>
  <c r="C7" i="28"/>
  <c r="C23" i="24"/>
  <c r="E23" i="24"/>
  <c r="C24" i="24"/>
  <c r="E24" i="24"/>
  <c r="C25" i="24"/>
  <c r="E25" i="24"/>
  <c r="C26" i="24"/>
  <c r="E26" i="24"/>
  <c r="C27" i="24"/>
  <c r="E27" i="24"/>
  <c r="C28" i="24"/>
  <c r="E28" i="24"/>
  <c r="C29" i="24"/>
  <c r="E29" i="24"/>
  <c r="C30" i="24"/>
  <c r="E30" i="24"/>
  <c r="C31" i="24"/>
  <c r="E31" i="24"/>
  <c r="C32" i="24"/>
  <c r="E32" i="24"/>
  <c r="C33" i="24"/>
  <c r="E33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B7" i="26"/>
  <c r="O15" i="28"/>
  <c r="O19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L23" i="24"/>
  <c r="M23" i="24"/>
  <c r="M18" i="24"/>
  <c r="P23" i="24"/>
  <c r="N24" i="24"/>
  <c r="Q24" i="24"/>
  <c r="N25" i="24"/>
  <c r="Q25" i="24"/>
  <c r="N26" i="24"/>
  <c r="Q26" i="24"/>
  <c r="N27" i="24"/>
  <c r="Q27" i="24"/>
  <c r="N28" i="24"/>
  <c r="Q28" i="24"/>
  <c r="N29" i="24"/>
  <c r="Q29" i="24"/>
  <c r="N30" i="24"/>
  <c r="Q30" i="24"/>
  <c r="N31" i="24"/>
  <c r="Q31" i="24"/>
  <c r="N32" i="24"/>
  <c r="Q32" i="24"/>
  <c r="N33" i="24"/>
  <c r="Q33" i="24"/>
  <c r="N34" i="24"/>
  <c r="Q34" i="24"/>
  <c r="L24" i="24"/>
  <c r="M24" i="24"/>
  <c r="P24" i="24"/>
  <c r="L25" i="24"/>
  <c r="M25" i="24"/>
  <c r="P25" i="24"/>
  <c r="L26" i="24"/>
  <c r="M26" i="24"/>
  <c r="P26" i="24"/>
  <c r="L27" i="24"/>
  <c r="M27" i="24"/>
  <c r="P27" i="24"/>
  <c r="L28" i="24"/>
  <c r="M28" i="24"/>
  <c r="P28" i="24"/>
  <c r="L29" i="24"/>
  <c r="M29" i="24"/>
  <c r="P29" i="24"/>
  <c r="L30" i="24"/>
  <c r="M30" i="24"/>
  <c r="P30" i="24"/>
  <c r="L31" i="24"/>
  <c r="M31" i="24"/>
  <c r="P31" i="24"/>
  <c r="L32" i="24"/>
  <c r="M32" i="24"/>
  <c r="P32" i="24"/>
  <c r="L33" i="24"/>
  <c r="M33" i="24"/>
  <c r="P33" i="24"/>
  <c r="L34" i="24"/>
  <c r="M34" i="24"/>
  <c r="P34" i="24"/>
  <c r="C7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H21" i="24"/>
  <c r="D6" i="24"/>
  <c r="G4" i="24"/>
  <c r="G3" i="24"/>
  <c r="B14" i="26"/>
  <c r="B13" i="26"/>
  <c r="B12" i="26"/>
  <c r="B11" i="26"/>
  <c r="B10" i="26"/>
  <c r="B9" i="26"/>
  <c r="B8" i="26"/>
  <c r="B6" i="26"/>
  <c r="B5" i="26"/>
  <c r="B17" i="26"/>
  <c r="B16" i="26"/>
  <c r="B15" i="26"/>
  <c r="M17" i="24"/>
</calcChain>
</file>

<file path=xl/sharedStrings.xml><?xml version="1.0" encoding="utf-8"?>
<sst xmlns="http://schemas.openxmlformats.org/spreadsheetml/2006/main" count="77" uniqueCount="70">
  <si>
    <t>Date</t>
  </si>
  <si>
    <t>Seasonality:</t>
  </si>
  <si>
    <t>Seasonality &amp; STAT</t>
  </si>
  <si>
    <t>CUBE:</t>
  </si>
  <si>
    <t>ESPTM1:ActualByDay</t>
  </si>
  <si>
    <t>SKU Unit Codes:</t>
  </si>
  <si>
    <t>Format:</t>
  </si>
  <si>
    <t>ISM Sell-In</t>
  </si>
  <si>
    <t>Model Description:</t>
  </si>
  <si>
    <t>Forecast_SCM_Measure:</t>
  </si>
  <si>
    <t>SKU Unit Codes</t>
  </si>
  <si>
    <t>ModelDesc</t>
  </si>
  <si>
    <t>Text</t>
  </si>
  <si>
    <t>Alternative Date Format</t>
  </si>
  <si>
    <t>Actual Demand</t>
  </si>
  <si>
    <t>Lower Confidence Bound (Future Demand)</t>
  </si>
  <si>
    <t>Upper Confidence Bound (Future Demand)</t>
  </si>
  <si>
    <t>Period</t>
  </si>
  <si>
    <t>Month</t>
  </si>
  <si>
    <t>Actual Sales</t>
  </si>
  <si>
    <t>Forecast Period:</t>
  </si>
  <si>
    <t xml:space="preserve">New Forecast based on a historical time series </t>
  </si>
  <si>
    <t xml:space="preserve">New Forecast chart based on a historical time series </t>
  </si>
  <si>
    <t>Previous Forecasts</t>
  </si>
  <si>
    <t>ESPTM1:Forecast_SCM</t>
  </si>
  <si>
    <t>Scenario</t>
  </si>
  <si>
    <t>New Forecast</t>
  </si>
  <si>
    <t>Error Percentage
Actual VS Previous Forecast</t>
  </si>
  <si>
    <t>Error Percentage
Actual VS New Forecast</t>
  </si>
  <si>
    <t>New SMAPE STAT:</t>
  </si>
  <si>
    <t>Previous SMAPE STAT:</t>
  </si>
  <si>
    <t>FORECAST.ETS.SEASONALITY($D$10:$D$21,$B$10:$B$21,1,1)</t>
  </si>
  <si>
    <t>FORECAST.ETS.STAT($D$10:$D$21,$B$10:$B$21,5,L16,1,1)</t>
  </si>
  <si>
    <t>2/12*SUMPRODUCT(ABS($E$10:$E$20-$D$10:$D$20),1/((ABS($E$10:$E$20)+ABS($D$10:$D$20))/2))</t>
  </si>
  <si>
    <t>Total Revenue</t>
  </si>
  <si>
    <t>Revenue(ASP-Unit Price)</t>
  </si>
  <si>
    <t>Total Units Sold</t>
  </si>
  <si>
    <t>Units Sold</t>
  </si>
  <si>
    <t>Sales Forecast Template - 3 Years</t>
  </si>
  <si>
    <t>ESPTM1:ReportingBySKU</t>
  </si>
  <si>
    <t>Forecasts</t>
  </si>
  <si>
    <t xml:space="preserve"> </t>
  </si>
  <si>
    <t>Predictive Demand Forecasts</t>
  </si>
  <si>
    <t>Averaged Forecasts</t>
  </si>
  <si>
    <t>C13T639000 - L-4033 OVERPRINT INK CARTRIDGE (700ML)</t>
  </si>
  <si>
    <t>C13T639100 - L-4033 PHOTO BLACK INK CARTRIDGE (700ML)</t>
  </si>
  <si>
    <t>C13T639200 - L-4033 CYAN INK CARTRIDGE (700ML)</t>
  </si>
  <si>
    <t>C13T639300 - L-4033 MAGENTA INK CARTRIDGE (700ML)</t>
  </si>
  <si>
    <t>C13T639400 - L-4033 YELLOW INK CARTRIDGE (700ML)</t>
  </si>
  <si>
    <t>C13T639500 - L-4033 MATTE BLACK INK CARTRIDGE (700ML)</t>
  </si>
  <si>
    <t>C13T639600 - L-4033 ORANGE INK CARTRIDGE (700ML)</t>
  </si>
  <si>
    <t>C13T639700 - L-4033 GREEN INK CARTRIDGE (700ML)</t>
  </si>
  <si>
    <t>C13T639800 - L-4033 MOISTURE LIQUID CARTRIDGE (350ML)</t>
  </si>
  <si>
    <t>C13T639A00 - L-4033 UNCOATED BLACK CARTRIDGE (700ML)</t>
  </si>
  <si>
    <t>C13T639B00 - L-4033 WHITE CARTRIDGE (600ML)</t>
  </si>
  <si>
    <t>C13T639C00 - L-4033 STORAGE LIQUID (700ML)</t>
  </si>
  <si>
    <t>C13T639D00 - L-4033 MOISTURE LIQUID (700ML)</t>
  </si>
  <si>
    <t>L-4033 OVERPRINT INK CARTRIDGE (700ML)</t>
  </si>
  <si>
    <t>L-4033 PHOTO BLACK INK CARTRIDGE (700ML)</t>
  </si>
  <si>
    <t>L-4033 CYAN INK CARTRIDGE (700ML)</t>
  </si>
  <si>
    <t>L-4033 MAGENTA INK CARTRIDGE (700ML)</t>
  </si>
  <si>
    <t>L-4033 YELLOW INK CARTRIDGE (700ML)</t>
  </si>
  <si>
    <t>L-4033 MATTE BLACK INK CARTRIDGE (700ML)</t>
  </si>
  <si>
    <t>L-4033 ORANGE INK CARTRIDGE (700ML)</t>
  </si>
  <si>
    <t>L-4033 GREEN INK CARTRIDGE (700ML)</t>
  </si>
  <si>
    <t>L-4033 MOISTURE LIQUID CARTRIDGE (350ML)</t>
  </si>
  <si>
    <t>L-4033 UNCOATED BLACK CARTRIDGE (700ML)</t>
  </si>
  <si>
    <t>L-4033 WHITE CARTRIDGE (600ML)</t>
  </si>
  <si>
    <t>L-4033 STORAGE LIQUID (700ML)</t>
  </si>
  <si>
    <t>L-4033 MOISTURE LIQUID (700ML)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</si>
</sst>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\-yy;@"/>
    <numFmt numFmtId="165" formatCode="0.0000000000"/>
    <numFmt numFmtId="166" formatCode="0.000000000%"/>
    <numFmt numFmtId="167" formatCode="0_);[Red]\(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B744D"/>
      <name val="Segoe UI"/>
      <family val="2"/>
    </font>
    <font>
      <u/>
      <sz val="32"/>
      <color rgb="FF30966D"/>
      <name val="Segoe UI Light"/>
      <family val="2"/>
    </font>
    <font>
      <sz val="11"/>
      <color theme="0"/>
      <name val="Segoe UI Light"/>
      <family val="2"/>
    </font>
    <font>
      <sz val="11"/>
      <color rgb="FF0B744D"/>
      <name val="Segoe UI Light"/>
      <family val="2"/>
    </font>
    <font>
      <sz val="11"/>
      <color rgb="FF000000"/>
      <name val="Segoe UI Light"/>
      <family val="2"/>
    </font>
    <font>
      <sz val="10"/>
      <color theme="1"/>
      <name val="Segoe UI Light"/>
      <family val="2"/>
    </font>
    <font>
      <sz val="11"/>
      <color rgb="FF30966D"/>
      <name val="Segoe UI Light"/>
      <family val="2"/>
    </font>
    <font>
      <sz val="11"/>
      <color theme="1"/>
      <name val="Arial"/>
      <family val="2"/>
    </font>
    <font>
      <b/>
      <sz val="11"/>
      <name val="Segoe UI Light"/>
      <family val="2"/>
    </font>
    <font>
      <u/>
      <sz val="11"/>
      <color rgb="FF3333FF"/>
      <name val="Arial"/>
      <family val="2"/>
    </font>
    <font>
      <u/>
      <sz val="11"/>
      <name val="Segoe UI Light"/>
      <family val="2"/>
    </font>
    <font>
      <sz val="11"/>
      <color rgb="FFCC66FF"/>
      <name val="Segoe UI Light"/>
      <family val="2"/>
    </font>
    <font>
      <sz val="11"/>
      <name val="Segoe UI Light"/>
      <family val="2"/>
    </font>
    <font>
      <b/>
      <sz val="28"/>
      <color rgb="FFCC66FF"/>
      <name val="Segoe UI Light"/>
      <family val="2"/>
    </font>
    <font>
      <sz val="11"/>
      <color theme="0" tint="-0.249977111117893"/>
      <name val="Wingdings 3"/>
      <family val="1"/>
      <charset val="2"/>
    </font>
    <font>
      <b/>
      <sz val="11"/>
      <color rgb="FF0B744D"/>
      <name val="Segoe U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0966D"/>
        <bgColor indexed="64"/>
      </patternFill>
    </fill>
    <fill>
      <gradientFill degree="90">
        <stop position="0">
          <color rgb="FFFEFEFE"/>
        </stop>
        <stop position="1">
          <color rgb="FFF1F4F8"/>
        </stop>
      </gradientFill>
    </fill>
    <fill>
      <patternFill patternType="solid">
        <fgColor rgb="FFCC66FF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B744D"/>
      </left>
      <right style="thin">
        <color rgb="FF0B744D"/>
      </right>
      <top style="thin">
        <color rgb="FF0B744D"/>
      </top>
      <bottom style="thin">
        <color rgb="FF0B744D"/>
      </bottom>
      <diagonal/>
    </border>
    <border>
      <left style="thin">
        <color rgb="FF0B744D"/>
      </left>
      <right/>
      <top style="thin">
        <color rgb="FF0B744D"/>
      </top>
      <bottom style="thin">
        <color rgb="FF0B744D"/>
      </bottom>
      <diagonal/>
    </border>
    <border>
      <left/>
      <right style="thin">
        <color rgb="FF0B744D"/>
      </right>
      <top style="thin">
        <color rgb="FF0B744D"/>
      </top>
      <bottom style="thin">
        <color rgb="FF0B744D"/>
      </bottom>
      <diagonal/>
    </border>
    <border>
      <left/>
      <right/>
      <top style="thin">
        <color rgb="FF0B744D"/>
      </top>
      <bottom style="thin">
        <color rgb="FF0B744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00CC"/>
      </bottom>
      <diagonal/>
    </border>
    <border>
      <left style="medium">
        <color theme="1"/>
      </left>
      <right style="thick">
        <color rgb="FF0000CC"/>
      </right>
      <top style="thick">
        <color rgb="FF0000CC"/>
      </top>
      <bottom style="thick">
        <color rgb="FF0000CC"/>
      </bottom>
      <diagonal/>
    </border>
    <border>
      <left/>
      <right style="thick">
        <color rgb="FF0000CC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27" fillId="0" borderId="0"/>
    <xf numFmtId="0" fontId="29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1" fillId="0" borderId="0" xfId="0" applyFont="1"/>
    <xf numFmtId="0" fontId="21" fillId="0" borderId="0" xfId="0" applyFont="1" applyBorder="1" applyAlignment="1">
      <alignment horizontal="left"/>
    </xf>
    <xf numFmtId="0" fontId="22" fillId="33" borderId="14" xfId="0" applyFont="1" applyFill="1" applyBorder="1"/>
    <xf numFmtId="0" fontId="1" fillId="0" borderId="14" xfId="0" applyFont="1" applyBorder="1"/>
    <xf numFmtId="1" fontId="1" fillId="0" borderId="0" xfId="0" applyNumberFormat="1" applyFont="1"/>
    <xf numFmtId="0" fontId="24" fillId="0" borderId="0" xfId="0" applyFont="1" applyAlignment="1">
      <alignment vertical="center"/>
    </xf>
    <xf numFmtId="0" fontId="25" fillId="0" borderId="0" xfId="0" applyFont="1"/>
    <xf numFmtId="0" fontId="1" fillId="0" borderId="0" xfId="0" applyFont="1" applyAlignment="1"/>
    <xf numFmtId="3" fontId="2" fillId="0" borderId="0" xfId="0" applyNumberFormat="1" applyFont="1"/>
    <xf numFmtId="1" fontId="2" fillId="0" borderId="0" xfId="0" applyNumberFormat="1" applyFont="1"/>
    <xf numFmtId="0" fontId="28" fillId="0" borderId="0" xfId="42" applyFont="1" applyFill="1" applyAlignment="1">
      <alignment horizontal="center" vertical="center"/>
    </xf>
    <xf numFmtId="0" fontId="30" fillId="0" borderId="0" xfId="43" applyFont="1" applyFill="1" applyAlignment="1">
      <alignment vertical="center"/>
    </xf>
    <xf numFmtId="0" fontId="22" fillId="35" borderId="14" xfId="0" applyFont="1" applyFill="1" applyBorder="1"/>
    <xf numFmtId="0" fontId="31" fillId="0" borderId="14" xfId="0" applyFont="1" applyBorder="1"/>
    <xf numFmtId="0" fontId="32" fillId="0" borderId="0" xfId="42" applyFont="1" applyFill="1" applyAlignment="1">
      <alignment vertical="center"/>
    </xf>
    <xf numFmtId="0" fontId="28" fillId="0" borderId="0" xfId="42" applyFont="1" applyFill="1" applyAlignment="1">
      <alignment vertical="center"/>
    </xf>
    <xf numFmtId="0" fontId="28" fillId="0" borderId="0" xfId="42" applyFont="1" applyFill="1" applyBorder="1" applyAlignment="1">
      <alignment horizontal="right" vertical="center"/>
    </xf>
    <xf numFmtId="0" fontId="32" fillId="0" borderId="0" xfId="42" applyFont="1" applyFill="1" applyAlignment="1">
      <alignment horizontal="right" vertical="center"/>
    </xf>
    <xf numFmtId="0" fontId="32" fillId="0" borderId="0" xfId="42" applyFont="1" applyFill="1" applyBorder="1" applyAlignment="1">
      <alignment vertical="center"/>
    </xf>
    <xf numFmtId="0" fontId="32" fillId="0" borderId="0" xfId="42" applyFont="1" applyFill="1" applyAlignment="1">
      <alignment horizontal="center" vertical="center"/>
    </xf>
    <xf numFmtId="0" fontId="28" fillId="0" borderId="0" xfId="42" applyFont="1" applyFill="1" applyBorder="1" applyAlignment="1">
      <alignment vertical="center"/>
    </xf>
    <xf numFmtId="0" fontId="22" fillId="35" borderId="14" xfId="42" applyFont="1" applyFill="1" applyBorder="1" applyAlignment="1" applyProtection="1">
      <alignment vertical="center"/>
      <protection locked="0"/>
    </xf>
    <xf numFmtId="164" fontId="28" fillId="0" borderId="14" xfId="42" applyNumberFormat="1" applyFont="1" applyFill="1" applyBorder="1" applyAlignment="1">
      <alignment horizontal="center" vertical="center"/>
    </xf>
    <xf numFmtId="0" fontId="28" fillId="0" borderId="14" xfId="42" applyFont="1" applyFill="1" applyBorder="1" applyAlignment="1">
      <alignment horizontal="center" vertical="center"/>
    </xf>
    <xf numFmtId="1" fontId="32" fillId="0" borderId="14" xfId="42" applyNumberFormat="1" applyFont="1" applyFill="1" applyBorder="1" applyAlignment="1" applyProtection="1">
      <alignment horizontal="center" vertical="center"/>
      <protection locked="0"/>
    </xf>
    <xf numFmtId="1" fontId="32" fillId="0" borderId="14" xfId="42" applyNumberFormat="1" applyFont="1" applyFill="1" applyBorder="1" applyAlignment="1">
      <alignment horizontal="center" vertical="center"/>
    </xf>
    <xf numFmtId="0" fontId="22" fillId="35" borderId="14" xfId="42" applyFont="1" applyFill="1" applyBorder="1" applyAlignment="1">
      <alignment vertical="center"/>
    </xf>
    <xf numFmtId="0" fontId="28" fillId="0" borderId="14" xfId="42" applyFont="1" applyFill="1" applyBorder="1" applyAlignment="1">
      <alignment vertical="center"/>
    </xf>
    <xf numFmtId="0" fontId="32" fillId="0" borderId="0" xfId="42" applyFont="1" applyFill="1"/>
    <xf numFmtId="0" fontId="32" fillId="0" borderId="0" xfId="42" applyFont="1" applyFill="1" applyBorder="1"/>
    <xf numFmtId="0" fontId="28" fillId="0" borderId="0" xfId="42" applyFont="1" applyFill="1" applyBorder="1" applyAlignment="1">
      <alignment horizontal="left" vertical="center"/>
    </xf>
    <xf numFmtId="0" fontId="32" fillId="0" borderId="0" xfId="42" applyFont="1" applyFill="1" applyBorder="1" applyAlignment="1">
      <alignment horizontal="left"/>
    </xf>
    <xf numFmtId="0" fontId="28" fillId="0" borderId="0" xfId="42" applyFont="1" applyFill="1" applyBorder="1"/>
    <xf numFmtId="0" fontId="33" fillId="0" borderId="0" xfId="42" applyFont="1" applyFill="1" applyAlignment="1">
      <alignment vertical="center"/>
    </xf>
    <xf numFmtId="167" fontId="32" fillId="0" borderId="14" xfId="42" applyNumberFormat="1" applyFont="1" applyFill="1" applyBorder="1" applyAlignment="1">
      <alignment horizontal="center" vertical="center"/>
    </xf>
    <xf numFmtId="17" fontId="1" fillId="36" borderId="16" xfId="0" applyNumberFormat="1" applyFont="1" applyFill="1" applyBorder="1" applyAlignment="1">
      <alignment horizontal="left"/>
    </xf>
    <xf numFmtId="14" fontId="1" fillId="36" borderId="0" xfId="0" applyNumberFormat="1" applyFont="1" applyFill="1" applyBorder="1"/>
    <xf numFmtId="3" fontId="1" fillId="36" borderId="0" xfId="0" applyNumberFormat="1" applyFont="1" applyFill="1" applyBorder="1" applyAlignment="1">
      <alignment horizontal="center"/>
    </xf>
    <xf numFmtId="0" fontId="20" fillId="0" borderId="21" xfId="0" applyFont="1" applyBorder="1"/>
    <xf numFmtId="0" fontId="35" fillId="0" borderId="0" xfId="0" applyFont="1"/>
    <xf numFmtId="0" fontId="34" fillId="34" borderId="14" xfId="0" applyFont="1" applyFill="1" applyBorder="1" applyAlignment="1" applyProtection="1">
      <alignment horizontal="center" vertical="top" shrinkToFit="1"/>
    </xf>
    <xf numFmtId="3" fontId="1" fillId="36" borderId="17" xfId="0" applyNumberFormat="1" applyFont="1" applyFill="1" applyBorder="1" applyAlignment="1">
      <alignment horizontal="left" vertical="top"/>
    </xf>
    <xf numFmtId="0" fontId="1" fillId="36" borderId="0" xfId="0" applyFont="1" applyFill="1" applyBorder="1" applyAlignment="1">
      <alignment horizontal="center"/>
    </xf>
    <xf numFmtId="0" fontId="1" fillId="0" borderId="0" xfId="0" applyFont="1"/>
    <xf numFmtId="164" fontId="1" fillId="0" borderId="0" xfId="0" applyNumberFormat="1" applyFont="1" applyAlignment="1">
      <alignment horizontal="left"/>
    </xf>
    <xf numFmtId="0" fontId="20" fillId="0" borderId="11" xfId="0" applyFont="1" applyBorder="1"/>
    <xf numFmtId="0" fontId="20" fillId="0" borderId="12" xfId="0" applyFont="1" applyBorder="1"/>
    <xf numFmtId="0" fontId="20" fillId="0" borderId="13" xfId="0" applyFont="1" applyBorder="1"/>
    <xf numFmtId="0" fontId="22" fillId="33" borderId="14" xfId="0" applyFont="1" applyFill="1" applyBorder="1"/>
    <xf numFmtId="0" fontId="23" fillId="0" borderId="14" xfId="0" applyFont="1" applyBorder="1"/>
    <xf numFmtId="49" fontId="20" fillId="0" borderId="13" xfId="0" applyNumberFormat="1" applyFont="1" applyBorder="1"/>
    <xf numFmtId="165" fontId="20" fillId="0" borderId="10" xfId="0" applyNumberFormat="1" applyFont="1" applyBorder="1" applyAlignment="1">
      <alignment horizontal="center" vertical="center"/>
    </xf>
    <xf numFmtId="166" fontId="20" fillId="0" borderId="10" xfId="0" applyNumberFormat="1" applyFont="1" applyBorder="1" applyAlignment="1">
      <alignment horizontal="center" vertical="center"/>
    </xf>
    <xf numFmtId="14" fontId="23" fillId="0" borderId="14" xfId="0" applyNumberFormat="1" applyFont="1" applyBorder="1"/>
    <xf numFmtId="3" fontId="1" fillId="0" borderId="0" xfId="0" applyNumberFormat="1" applyFont="1"/>
    <xf numFmtId="17" fontId="1" fillId="0" borderId="15" xfId="0" applyNumberFormat="1" applyFont="1" applyBorder="1" applyAlignment="1">
      <alignment horizontal="left"/>
    </xf>
    <xf numFmtId="17" fontId="1" fillId="0" borderId="0" xfId="0" applyNumberFormat="1" applyFont="1" applyBorder="1" applyAlignment="1">
      <alignment horizontal="left"/>
    </xf>
    <xf numFmtId="17" fontId="1" fillId="0" borderId="0" xfId="0" applyNumberFormat="1" applyFont="1"/>
    <xf numFmtId="0" fontId="1" fillId="0" borderId="0" xfId="0" applyNumberFormat="1" applyFont="1"/>
    <xf numFmtId="1" fontId="1" fillId="0" borderId="0" xfId="0" applyNumberFormat="1" applyFont="1"/>
    <xf numFmtId="0" fontId="26" fillId="0" borderId="14" xfId="0" applyFont="1" applyBorder="1"/>
    <xf numFmtId="3" fontId="1" fillId="0" borderId="0" xfId="0" applyNumberFormat="1" applyFont="1" applyBorder="1" applyAlignment="1">
      <alignment horizontal="left" vertical="top"/>
    </xf>
    <xf numFmtId="0" fontId="1" fillId="0" borderId="0" xfId="0" applyFont="1" applyAlignment="1">
      <alignment wrapText="1"/>
    </xf>
    <xf numFmtId="14" fontId="1" fillId="0" borderId="0" xfId="0" applyNumberFormat="1" applyFont="1" applyBorder="1"/>
    <xf numFmtId="3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3" fontId="1" fillId="0" borderId="0" xfId="0" applyNumberFormat="1" applyFont="1" applyBorder="1" applyAlignment="1">
      <alignment horizontal="left"/>
    </xf>
    <xf numFmtId="0" fontId="1" fillId="0" borderId="18" xfId="0" applyFont="1" applyFill="1" applyBorder="1"/>
    <xf numFmtId="0" fontId="1" fillId="0" borderId="19" xfId="0" applyFont="1" applyBorder="1"/>
    <xf numFmtId="0" fontId="1" fillId="0" borderId="20" xfId="0" applyFont="1" applyBorder="1"/>
    <xf numFmtId="10" fontId="1" fillId="0" borderId="0" xfId="0" applyNumberFormat="1" applyFont="1" applyAlignment="1">
      <alignment horizontal="center" vertical="center"/>
    </xf>
    <xf numFmtId="0" fontId="32" fillId="0" borderId="14" xfId="42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left" vertical="center"/>
    </xf>
    <xf numFmtId="0" fontId="22" fillId="35" borderId="14" xfId="0" applyFont="1" applyFill="1" applyBorder="1" applyAlignment="1">
      <alignment horizontal="left" vertical="center"/>
    </xf>
    <xf numFmtId="0" fontId="31" fillId="0" borderId="14" xfId="0" applyFont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3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22" formatCode="mmm\-yy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3" formatCode="#,##0"/>
      <alignment horizontal="left" vertical="top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diagonalUp="0" diagonalDown="0" outline="0">
        <left/>
        <right/>
        <top/>
        <bottom/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1" defaultTableStyle="TableStyleMedium2" defaultPivotStyle="PivotStyleLight16">
    <tableStyle name="CustomTableStyle" pivot="0" count="2">
      <tableStyleElement type="headerRow" dxfId="23"/>
      <tableStyleElement type="firstRowStripe" dxfId="22"/>
    </tableStyle>
  </tableStyles>
  <colors>
    <mruColors>
      <color rgb="FF0B744D"/>
      <color rgb="FF30966D"/>
      <color rgb="FFCC66FF"/>
      <color rgb="FFFF9933"/>
      <color rgb="FF0000CC"/>
      <color rgb="FFD83B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Amount</a:t>
            </a:r>
            <a:r>
              <a:rPr lang="en-US" baseline="0"/>
              <a:t> of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'Forecasting Table'!$P$22</c:f>
              <c:strCache>
                <c:ptCount val="1"/>
                <c:pt idx="0">
                  <c:v>Error Percentage
Actual VS Previous Forecast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'Forecasting Table'!$L$23:$L$34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Table'!$P$23:$P$34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2-4764-B044-25BB1D4E0786}"/>
            </c:ext>
          </c:extLst>
        </c:ser>
        <c:ser>
          <c:idx val="1"/>
          <c:order val="1"/>
          <c:tx>
            <c:strRef>
              <c:f>'Forecasting Table'!$Q$22</c:f>
              <c:strCache>
                <c:ptCount val="1"/>
                <c:pt idx="0">
                  <c:v>Error Percentage
Actual VS New Forecast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'Forecasting Table'!$L$23:$L$34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Table'!$Q$23:$Q$34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2-4764-B044-25BB1D4E0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398152"/>
        <c:axId val="516368992"/>
      </c:barChart>
      <c:catAx>
        <c:axId val="51739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68992"/>
        <c:crosses val="autoZero"/>
        <c:auto val="1"/>
        <c:lblAlgn val="ctr"/>
        <c:lblOffset val="100"/>
        <c:noMultiLvlLbl val="0"/>
      </c:catAx>
      <c:valAx>
        <c:axId val="51636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9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Forecasts</a:t>
            </a:r>
            <a:r>
              <a:rPr lang="en-US" baseline="0"/>
              <a:t> vs Actual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'Forecasting Table'!$M$22</c:f>
              <c:strCache>
                <c:ptCount val="1"/>
                <c:pt idx="0">
                  <c:v>Actual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'Forecasting Table'!$L$23:$L$34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Table'!$M$23:$M$34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7-49F5-B8A6-C89ABEB2247E}"/>
            </c:ext>
          </c:extLst>
        </c:ser>
        <c:ser>
          <c:idx val="1"/>
          <c:order val="1"/>
          <c:tx>
            <c:strRef>
              <c:f>'Forecasting Table'!$N$22</c:f>
              <c:strCache>
                <c:ptCount val="1"/>
                <c:pt idx="0">
                  <c:v>Previous Forecasts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'Forecasting Table'!$L$23:$L$34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Table'!$N$23:$N$34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87-49F5-B8A6-C89ABEB2247E}"/>
            </c:ext>
          </c:extLst>
        </c:ser>
        <c:ser>
          <c:idx val="2"/>
          <c:order val="2"/>
          <c:tx>
            <c:strRef>
              <c:f>'Forecasting Table'!$O$22</c:f>
              <c:strCache>
                <c:ptCount val="1"/>
                <c:pt idx="0">
                  <c:v>New Forecast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'Forecasting Table'!$L$23:$L$34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Table'!$O$23:$O$34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87-49F5-B8A6-C89ABEB2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395856"/>
        <c:axId val="632476272"/>
      </c:barChart>
      <c:catAx>
        <c:axId val="5173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476272"/>
        <c:crosses val="autoZero"/>
        <c:auto val="1"/>
        <c:lblAlgn val="ctr"/>
        <c:lblOffset val="100"/>
        <c:noMultiLvlLbl val="0"/>
      </c:catAx>
      <c:valAx>
        <c:axId val="6324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VS ISM VS Suggested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61861884489322E-2"/>
          <c:y val="0.12569572192093789"/>
          <c:w val="0.87548837734996043"/>
          <c:h val="0.6383296325646719"/>
        </c:manualLayout>
      </c:layout>
      <c:lineChart>
        <c:grouping val="standard"/>
        <c:varyColors val="0"/>
        <c:ser>
          <c:idx val="0"/>
          <c:order val="0"/>
          <c:tx>
            <c:strRef>
              <c:f>'Forecasting Table'!$D$9</c:f>
              <c:strCache>
                <c:ptCount val="1"/>
                <c:pt idx="0">
                  <c:v>Actual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'Forecasting Table'!$C$22:$C$33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Table'!$D$22:$D$33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FB-40FE-B1F7-6CD680E7D137}"/>
            </c:ext>
          </c:extLst>
        </c:ser>
        <c:ser>
          <c:idx val="1"/>
          <c:order val="1"/>
          <c:tx>
            <c:strRef>
              <c:f>'Forecasting Table'!$E$9</c:f>
              <c:strCache>
                <c:ptCount val="1"/>
                <c:pt idx="0">
                  <c:v>Previous Forecasts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'Forecasting Table'!$C$22:$C$33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Table'!$E$22:$E$33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FB-40FE-B1F7-6CD680E7D137}"/>
            </c:ext>
          </c:extLst>
        </c:ser>
        <c:ser>
          <c:idx val="2"/>
          <c:order val="2"/>
          <c:tx>
            <c:strRef>
              <c:f>'Forecasting Table'!$F$9</c:f>
              <c:strCache>
                <c:ptCount val="1"/>
                <c:pt idx="0">
                  <c:v>Averaged Forecasts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'Forecasting Table'!$C$22:$C$33</c:f>
              <c:strCache>
                <c:ptCount val="12"/>
                <c:pt idx="0">
                  <c:v>2018 Apr</c:v>
                </c:pt>
                <c:pt idx="1">
                  <c:v>2018 May</c:v>
                </c:pt>
                <c:pt idx="2">
                  <c:v>2018 Jun</c:v>
                </c:pt>
                <c:pt idx="3">
                  <c:v>2018 Jul</c:v>
                </c:pt>
                <c:pt idx="4">
                  <c:v>2018 Aug</c:v>
                </c:pt>
                <c:pt idx="5">
                  <c:v>2018 Sep</c:v>
                </c:pt>
                <c:pt idx="6">
                  <c:v>2018 Oct</c:v>
                </c:pt>
                <c:pt idx="7">
                  <c:v>2018 Nov</c:v>
                </c:pt>
                <c:pt idx="8">
                  <c:v>2018 Dec</c:v>
                </c:pt>
                <c:pt idx="9">
                  <c:v>2019 Jan</c:v>
                </c:pt>
                <c:pt idx="10">
                  <c:v>2019 Feb</c:v>
                </c:pt>
                <c:pt idx="11">
                  <c:v>2019 Mar</c:v>
                </c:pt>
              </c:strCache>
            </c:strRef>
          </c:cat>
          <c:val>
            <c:numRef>
              <c:f>'Forecasting Table'!$F$22:$F$33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FB-40FE-B1F7-6CD680E7D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7502184"/>
        <c:axId val="617502840"/>
      </c:lineChart>
      <c:catAx>
        <c:axId val="61750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502840"/>
        <c:crosses val="autoZero"/>
        <c:auto val="1"/>
        <c:lblAlgn val="ctr"/>
        <c:lblOffset val="100"/>
        <c:noMultiLvlLbl val="0"/>
      </c:catAx>
      <c:valAx>
        <c:axId val="61750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50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New</a:t>
            </a:r>
            <a:r>
              <a:rPr lang="en-US" sz="3600" baseline="0"/>
              <a:t> </a:t>
            </a:r>
            <a:r>
              <a:rPr lang="en-US" sz="3600"/>
              <a:t>Forecasting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290473787864613E-2"/>
          <c:y val="0.11337779516388513"/>
          <c:w val="0.91086327881942064"/>
          <c:h val="0.69317918396603107"/>
        </c:manualLayout>
      </c:layout>
      <c:lineChart>
        <c:grouping val="standard"/>
        <c:varyColors val="0"/>
        <c:ser>
          <c:idx val="0"/>
          <c:order val="0"/>
          <c:tx>
            <c:strRef>
              <c:f>'Forecasting Table'!$D$9</c:f>
              <c:strCache>
                <c:ptCount val="1"/>
                <c:pt idx="0">
                  <c:v>Actual Demand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'Forecasting Table'!$C$10:$C$33</c:f>
              <c:strCache>
                <c:ptCount val="24"/>
                <c:pt idx="0">
                  <c:v>2017 Apr</c:v>
                </c:pt>
                <c:pt idx="1">
                  <c:v>2017 May</c:v>
                </c:pt>
                <c:pt idx="2">
                  <c:v>2017 Jun</c:v>
                </c:pt>
                <c:pt idx="3">
                  <c:v>2017 Jul</c:v>
                </c:pt>
                <c:pt idx="4">
                  <c:v>2017 Aug</c:v>
                </c:pt>
                <c:pt idx="5">
                  <c:v>2017 Sep</c:v>
                </c:pt>
                <c:pt idx="6">
                  <c:v>2017 Oct</c:v>
                </c:pt>
                <c:pt idx="7">
                  <c:v>2017 Nov</c:v>
                </c:pt>
                <c:pt idx="8">
                  <c:v>2017 Dec</c:v>
                </c:pt>
                <c:pt idx="9">
                  <c:v>2018 Jan</c:v>
                </c:pt>
                <c:pt idx="10">
                  <c:v>2018 Feb</c:v>
                </c:pt>
                <c:pt idx="11">
                  <c:v>2018 Mar</c:v>
                </c:pt>
                <c:pt idx="12">
                  <c:v>2018 Apr</c:v>
                </c:pt>
                <c:pt idx="13">
                  <c:v>2018 May</c:v>
                </c:pt>
                <c:pt idx="14">
                  <c:v>2018 Jun</c:v>
                </c:pt>
                <c:pt idx="15">
                  <c:v>2018 Jul</c:v>
                </c:pt>
                <c:pt idx="16">
                  <c:v>2018 Aug</c:v>
                </c:pt>
                <c:pt idx="17">
                  <c:v>2018 Sep</c:v>
                </c:pt>
                <c:pt idx="18">
                  <c:v>2018 Oct</c:v>
                </c:pt>
                <c:pt idx="19">
                  <c:v>2018 Nov</c:v>
                </c:pt>
                <c:pt idx="20">
                  <c:v>2018 Dec</c:v>
                </c:pt>
                <c:pt idx="21">
                  <c:v>2019 Jan</c:v>
                </c:pt>
                <c:pt idx="22">
                  <c:v>2019 Feb</c:v>
                </c:pt>
                <c:pt idx="23">
                  <c:v>2019 Mar</c:v>
                </c:pt>
              </c:strCache>
            </c:strRef>
          </c:cat>
          <c:val>
            <c:numRef>
              <c:f>'Forecasting Table'!$D$10:$D$33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8-4DD4-8C1D-F3EE130B011B}"/>
            </c:ext>
          </c:extLst>
        </c:ser>
        <c:ser>
          <c:idx val="1"/>
          <c:order val="1"/>
          <c:tx>
            <c:strRef>
              <c:f>'Forecasting Table'!$F$9</c:f>
              <c:strCache>
                <c:ptCount val="1"/>
                <c:pt idx="0">
                  <c:v>Averaged Forecasts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'Forecasting Table'!$C$10:$C$33</c:f>
              <c:strCache>
                <c:ptCount val="24"/>
                <c:pt idx="0">
                  <c:v>2017 Apr</c:v>
                </c:pt>
                <c:pt idx="1">
                  <c:v>2017 May</c:v>
                </c:pt>
                <c:pt idx="2">
                  <c:v>2017 Jun</c:v>
                </c:pt>
                <c:pt idx="3">
                  <c:v>2017 Jul</c:v>
                </c:pt>
                <c:pt idx="4">
                  <c:v>2017 Aug</c:v>
                </c:pt>
                <c:pt idx="5">
                  <c:v>2017 Sep</c:v>
                </c:pt>
                <c:pt idx="6">
                  <c:v>2017 Oct</c:v>
                </c:pt>
                <c:pt idx="7">
                  <c:v>2017 Nov</c:v>
                </c:pt>
                <c:pt idx="8">
                  <c:v>2017 Dec</c:v>
                </c:pt>
                <c:pt idx="9">
                  <c:v>2018 Jan</c:v>
                </c:pt>
                <c:pt idx="10">
                  <c:v>2018 Feb</c:v>
                </c:pt>
                <c:pt idx="11">
                  <c:v>2018 Mar</c:v>
                </c:pt>
                <c:pt idx="12">
                  <c:v>2018 Apr</c:v>
                </c:pt>
                <c:pt idx="13">
                  <c:v>2018 May</c:v>
                </c:pt>
                <c:pt idx="14">
                  <c:v>2018 Jun</c:v>
                </c:pt>
                <c:pt idx="15">
                  <c:v>2018 Jul</c:v>
                </c:pt>
                <c:pt idx="16">
                  <c:v>2018 Aug</c:v>
                </c:pt>
                <c:pt idx="17">
                  <c:v>2018 Sep</c:v>
                </c:pt>
                <c:pt idx="18">
                  <c:v>2018 Oct</c:v>
                </c:pt>
                <c:pt idx="19">
                  <c:v>2018 Nov</c:v>
                </c:pt>
                <c:pt idx="20">
                  <c:v>2018 Dec</c:v>
                </c:pt>
                <c:pt idx="21">
                  <c:v>2019 Jan</c:v>
                </c:pt>
                <c:pt idx="22">
                  <c:v>2019 Feb</c:v>
                </c:pt>
                <c:pt idx="23">
                  <c:v>2019 Mar</c:v>
                </c:pt>
              </c:strCache>
            </c:strRef>
          </c:cat>
          <c:val>
            <c:numRef>
              <c:f>'Forecasting Table'!$F$10:$F$33</c:f>
              <c:numCache>
                <c:formatCode>#,##0</c:formatCode>
                <c:ptCount val="24"/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2-468B-9B8F-51494B720FE4}"/>
            </c:ext>
          </c:extLst>
        </c:ser>
        <c:ser>
          <c:idx val="2"/>
          <c:order val="2"/>
          <c:tx>
            <c:strRef>
              <c:f>'Forecasting Table'!$G$9</c:f>
              <c:strCache>
                <c:ptCount val="1"/>
                <c:pt idx="0">
                  <c:v>Predictive Demand Forecasts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'Forecasting Table'!$C$10:$C$33</c:f>
              <c:strCache>
                <c:ptCount val="24"/>
                <c:pt idx="0">
                  <c:v>2017 Apr</c:v>
                </c:pt>
                <c:pt idx="1">
                  <c:v>2017 May</c:v>
                </c:pt>
                <c:pt idx="2">
                  <c:v>2017 Jun</c:v>
                </c:pt>
                <c:pt idx="3">
                  <c:v>2017 Jul</c:v>
                </c:pt>
                <c:pt idx="4">
                  <c:v>2017 Aug</c:v>
                </c:pt>
                <c:pt idx="5">
                  <c:v>2017 Sep</c:v>
                </c:pt>
                <c:pt idx="6">
                  <c:v>2017 Oct</c:v>
                </c:pt>
                <c:pt idx="7">
                  <c:v>2017 Nov</c:v>
                </c:pt>
                <c:pt idx="8">
                  <c:v>2017 Dec</c:v>
                </c:pt>
                <c:pt idx="9">
                  <c:v>2018 Jan</c:v>
                </c:pt>
                <c:pt idx="10">
                  <c:v>2018 Feb</c:v>
                </c:pt>
                <c:pt idx="11">
                  <c:v>2018 Mar</c:v>
                </c:pt>
                <c:pt idx="12">
                  <c:v>2018 Apr</c:v>
                </c:pt>
                <c:pt idx="13">
                  <c:v>2018 May</c:v>
                </c:pt>
                <c:pt idx="14">
                  <c:v>2018 Jun</c:v>
                </c:pt>
                <c:pt idx="15">
                  <c:v>2018 Jul</c:v>
                </c:pt>
                <c:pt idx="16">
                  <c:v>2018 Aug</c:v>
                </c:pt>
                <c:pt idx="17">
                  <c:v>2018 Sep</c:v>
                </c:pt>
                <c:pt idx="18">
                  <c:v>2018 Oct</c:v>
                </c:pt>
                <c:pt idx="19">
                  <c:v>2018 Nov</c:v>
                </c:pt>
                <c:pt idx="20">
                  <c:v>2018 Dec</c:v>
                </c:pt>
                <c:pt idx="21">
                  <c:v>2019 Jan</c:v>
                </c:pt>
                <c:pt idx="22">
                  <c:v>2019 Feb</c:v>
                </c:pt>
                <c:pt idx="23">
                  <c:v>2019 Mar</c:v>
                </c:pt>
              </c:strCache>
            </c:strRef>
          </c:cat>
          <c:val>
            <c:numRef>
              <c:f>'Forecasting Table'!$G$10:$G$33</c:f>
              <c:numCache>
                <c:formatCode>#,##0</c:formatCode>
                <c:ptCount val="24"/>
                <c:pt idx="11" formatCode="General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B2-468B-9B8F-51494B720FE4}"/>
            </c:ext>
          </c:extLst>
        </c:ser>
        <c:ser>
          <c:idx val="3"/>
          <c:order val="3"/>
          <c:tx>
            <c:strRef>
              <c:f>'Forecasting Table'!$H$9</c:f>
              <c:strCache>
                <c:ptCount val="1"/>
                <c:pt idx="0">
                  <c:v>Lower Confidence Bound (Future Demand)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'Forecasting Table'!$C$10:$C$33</c:f>
              <c:strCache>
                <c:ptCount val="24"/>
                <c:pt idx="0">
                  <c:v>2017 Apr</c:v>
                </c:pt>
                <c:pt idx="1">
                  <c:v>2017 May</c:v>
                </c:pt>
                <c:pt idx="2">
                  <c:v>2017 Jun</c:v>
                </c:pt>
                <c:pt idx="3">
                  <c:v>2017 Jul</c:v>
                </c:pt>
                <c:pt idx="4">
                  <c:v>2017 Aug</c:v>
                </c:pt>
                <c:pt idx="5">
                  <c:v>2017 Sep</c:v>
                </c:pt>
                <c:pt idx="6">
                  <c:v>2017 Oct</c:v>
                </c:pt>
                <c:pt idx="7">
                  <c:v>2017 Nov</c:v>
                </c:pt>
                <c:pt idx="8">
                  <c:v>2017 Dec</c:v>
                </c:pt>
                <c:pt idx="9">
                  <c:v>2018 Jan</c:v>
                </c:pt>
                <c:pt idx="10">
                  <c:v>2018 Feb</c:v>
                </c:pt>
                <c:pt idx="11">
                  <c:v>2018 Mar</c:v>
                </c:pt>
                <c:pt idx="12">
                  <c:v>2018 Apr</c:v>
                </c:pt>
                <c:pt idx="13">
                  <c:v>2018 May</c:v>
                </c:pt>
                <c:pt idx="14">
                  <c:v>2018 Jun</c:v>
                </c:pt>
                <c:pt idx="15">
                  <c:v>2018 Jul</c:v>
                </c:pt>
                <c:pt idx="16">
                  <c:v>2018 Aug</c:v>
                </c:pt>
                <c:pt idx="17">
                  <c:v>2018 Sep</c:v>
                </c:pt>
                <c:pt idx="18">
                  <c:v>2018 Oct</c:v>
                </c:pt>
                <c:pt idx="19">
                  <c:v>2018 Nov</c:v>
                </c:pt>
                <c:pt idx="20">
                  <c:v>2018 Dec</c:v>
                </c:pt>
                <c:pt idx="21">
                  <c:v>2019 Jan</c:v>
                </c:pt>
                <c:pt idx="22">
                  <c:v>2019 Feb</c:v>
                </c:pt>
                <c:pt idx="23">
                  <c:v>2019 Mar</c:v>
                </c:pt>
              </c:strCache>
            </c:strRef>
          </c:cat>
          <c:val>
            <c:numRef>
              <c:f>'Forecasting Table'!$H$10:$H$33</c:f>
              <c:numCache>
                <c:formatCode>#,##0</c:formatCode>
                <c:ptCount val="24"/>
                <c:pt idx="11" formatCode="General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B2-468B-9B8F-51494B720FE4}"/>
            </c:ext>
          </c:extLst>
        </c:ser>
        <c:ser>
          <c:idx val="4"/>
          <c:order val="4"/>
          <c:tx>
            <c:strRef>
              <c:f>'Forecasting Table'!$I$9</c:f>
              <c:strCache>
                <c:ptCount val="1"/>
                <c:pt idx="0">
                  <c:v>Upper Confidence Bound (Future Demand)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'Forecasting Table'!$C$10:$C$33</c:f>
              <c:strCache>
                <c:ptCount val="24"/>
                <c:pt idx="0">
                  <c:v>2017 Apr</c:v>
                </c:pt>
                <c:pt idx="1">
                  <c:v>2017 May</c:v>
                </c:pt>
                <c:pt idx="2">
                  <c:v>2017 Jun</c:v>
                </c:pt>
                <c:pt idx="3">
                  <c:v>2017 Jul</c:v>
                </c:pt>
                <c:pt idx="4">
                  <c:v>2017 Aug</c:v>
                </c:pt>
                <c:pt idx="5">
                  <c:v>2017 Sep</c:v>
                </c:pt>
                <c:pt idx="6">
                  <c:v>2017 Oct</c:v>
                </c:pt>
                <c:pt idx="7">
                  <c:v>2017 Nov</c:v>
                </c:pt>
                <c:pt idx="8">
                  <c:v>2017 Dec</c:v>
                </c:pt>
                <c:pt idx="9">
                  <c:v>2018 Jan</c:v>
                </c:pt>
                <c:pt idx="10">
                  <c:v>2018 Feb</c:v>
                </c:pt>
                <c:pt idx="11">
                  <c:v>2018 Mar</c:v>
                </c:pt>
                <c:pt idx="12">
                  <c:v>2018 Apr</c:v>
                </c:pt>
                <c:pt idx="13">
                  <c:v>2018 May</c:v>
                </c:pt>
                <c:pt idx="14">
                  <c:v>2018 Jun</c:v>
                </c:pt>
                <c:pt idx="15">
                  <c:v>2018 Jul</c:v>
                </c:pt>
                <c:pt idx="16">
                  <c:v>2018 Aug</c:v>
                </c:pt>
                <c:pt idx="17">
                  <c:v>2018 Sep</c:v>
                </c:pt>
                <c:pt idx="18">
                  <c:v>2018 Oct</c:v>
                </c:pt>
                <c:pt idx="19">
                  <c:v>2018 Nov</c:v>
                </c:pt>
                <c:pt idx="20">
                  <c:v>2018 Dec</c:v>
                </c:pt>
                <c:pt idx="21">
                  <c:v>2019 Jan</c:v>
                </c:pt>
                <c:pt idx="22">
                  <c:v>2019 Feb</c:v>
                </c:pt>
                <c:pt idx="23">
                  <c:v>2019 Mar</c:v>
                </c:pt>
              </c:strCache>
            </c:strRef>
          </c:cat>
          <c:val>
            <c:numRef>
              <c:f>'Forecasting Table'!$I$10:$I$33</c:f>
              <c:numCache>
                <c:formatCode>#,##0</c:formatCode>
                <c:ptCount val="24"/>
                <c:pt idx="11" formatCode="General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B2-468B-9B8F-51494B720F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0475648"/>
        <c:axId val="190551552"/>
      </c:lineChart>
      <c:catAx>
        <c:axId val="190475648"/>
        <c:scaling>
          <c:orientation val="minMax"/>
        </c:scaling>
        <c:delete val="0"/>
        <c:axPos val="b"/>
        <c:numFmt formatCode="General" sourceLinked="1"/>
        <c:majorTickMark val="none"/>
        <c:minorTickMark val="out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51552"/>
        <c:crosses val="autoZero"/>
        <c:auto val="1"/>
        <c:lblAlgn val="ctr"/>
        <c:lblOffset val="100"/>
        <c:noMultiLvlLbl val="0"/>
      </c:catAx>
      <c:valAx>
        <c:axId val="190551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out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2.png"/><Relationship Id="rId7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hyperlink" Target="#'Forecasting chart'!A1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Forecasting Table'!A1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582083</xdr:colOff>
      <xdr:row>0</xdr:row>
      <xdr:rowOff>188383</xdr:rowOff>
    </xdr:from>
    <xdr:to>
      <xdr:col>12</xdr:col>
      <xdr:colOff>301143</xdr:colOff>
      <xdr:row>7</xdr:row>
      <xdr:rowOff>359833</xdr:rowOff>
    </xdr:to>
    <xdr:grpSp>
      <xdr:nvGrpSpPr>
        <xdr:cNvPr id="32" name="Step 3">
          <a:extLst>
            <a:ext uri="{FF2B5EF4-FFF2-40B4-BE49-F238E27FC236}">
              <a16:creationId xmlns:a16="http://schemas.microsoft.com/office/drawing/2014/main" id="{186F0511-7DF0-4B28-94A9-66E7FE7C5DF7}"/>
            </a:ext>
          </a:extLst>
        </xdr:cNvPr>
        <xdr:cNvGrpSpPr/>
      </xdr:nvGrpSpPr>
      <xdr:grpSpPr>
        <a:xfrm>
          <a:off x="24824972" y="188383"/>
          <a:ext cx="2767060" cy="2252839"/>
          <a:chOff x="7061007" y="2613499"/>
          <a:chExt cx="2586607" cy="1174171"/>
        </a:xfrm>
      </xdr:grpSpPr>
      <xdr:sp macro="" textlink="">
        <xdr:nvSpPr>
          <xdr:cNvPr id="33" name="Container">
            <a:extLst>
              <a:ext uri="{FF2B5EF4-FFF2-40B4-BE49-F238E27FC236}">
                <a16:creationId xmlns:a16="http://schemas.microsoft.com/office/drawing/2014/main" id="{D1E4AEC4-F987-4256-BEBE-4E35571E8030}"/>
              </a:ext>
            </a:extLst>
          </xdr:cNvPr>
          <xdr:cNvSpPr/>
        </xdr:nvSpPr>
        <xdr:spPr>
          <a:xfrm>
            <a:off x="7061007" y="2613499"/>
            <a:ext cx="2578609" cy="1174171"/>
          </a:xfrm>
          <a:prstGeom prst="rect">
            <a:avLst/>
          </a:prstGeom>
          <a:noFill/>
          <a:ln w="3175">
            <a:solidFill>
              <a:srgbClr val="0B744D"/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0B744D"/>
              </a:solidFill>
              <a:latin typeface="+mn-lt"/>
            </a:endParaRPr>
          </a:p>
        </xdr:txBody>
      </xdr:sp>
      <xdr:sp macro="" textlink="">
        <xdr:nvSpPr>
          <xdr:cNvPr id="34" name="Text">
            <a:extLst>
              <a:ext uri="{FF2B5EF4-FFF2-40B4-BE49-F238E27FC236}">
                <a16:creationId xmlns:a16="http://schemas.microsoft.com/office/drawing/2014/main" id="{7045C6CB-7B5A-4E9B-91A5-B767DBC03ACF}"/>
              </a:ext>
            </a:extLst>
          </xdr:cNvPr>
          <xdr:cNvSpPr txBox="1"/>
        </xdr:nvSpPr>
        <xdr:spPr>
          <a:xfrm>
            <a:off x="7324725" y="2629002"/>
            <a:ext cx="2322889" cy="10699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="1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Forecast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Column C uses the FORECAST.ETS function. The predicted value is a continuation of the historical values in the specified target date, which should be a continuation of the timeline.</a:t>
            </a:r>
          </a:p>
        </xdr:txBody>
      </xdr:sp>
      <xdr:sp macro="" textlink="">
        <xdr:nvSpPr>
          <xdr:cNvPr id="35" name="Number">
            <a:extLst>
              <a:ext uri="{FF2B5EF4-FFF2-40B4-BE49-F238E27FC236}">
                <a16:creationId xmlns:a16="http://schemas.microsoft.com/office/drawing/2014/main" id="{82E50EEC-6BA2-47F3-BF24-DC5E98032E80}"/>
              </a:ext>
            </a:extLst>
          </xdr:cNvPr>
          <xdr:cNvSpPr txBox="1"/>
        </xdr:nvSpPr>
        <xdr:spPr>
          <a:xfrm>
            <a:off x="7067550" y="2667002"/>
            <a:ext cx="274320" cy="3657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rPr>
              <a:t>C</a:t>
            </a:r>
          </a:p>
        </xdr:txBody>
      </xdr:sp>
    </xdr:grpSp>
    <xdr:clientData/>
  </xdr:twoCellAnchor>
  <xdr:twoCellAnchor>
    <xdr:from>
      <xdr:col>12</xdr:col>
      <xdr:colOff>361757</xdr:colOff>
      <xdr:row>0</xdr:row>
      <xdr:rowOff>188383</xdr:rowOff>
    </xdr:from>
    <xdr:to>
      <xdr:col>22</xdr:col>
      <xdr:colOff>249188</xdr:colOff>
      <xdr:row>7</xdr:row>
      <xdr:rowOff>360595</xdr:rowOff>
    </xdr:to>
    <xdr:grpSp>
      <xdr:nvGrpSpPr>
        <xdr:cNvPr id="36" name="Step 3">
          <a:extLst>
            <a:ext uri="{FF2B5EF4-FFF2-40B4-BE49-F238E27FC236}">
              <a16:creationId xmlns:a16="http://schemas.microsoft.com/office/drawing/2014/main" id="{F98B5C98-2968-4448-B362-18FBAAD8AD5A}"/>
            </a:ext>
          </a:extLst>
        </xdr:cNvPr>
        <xdr:cNvGrpSpPr/>
      </xdr:nvGrpSpPr>
      <xdr:grpSpPr>
        <a:xfrm>
          <a:off x="27652646" y="188383"/>
          <a:ext cx="11155153" cy="2253601"/>
          <a:chOff x="7061007" y="2613499"/>
          <a:chExt cx="2586607" cy="1174171"/>
        </a:xfrm>
      </xdr:grpSpPr>
      <xdr:sp macro="" textlink="">
        <xdr:nvSpPr>
          <xdr:cNvPr id="37" name="Container">
            <a:extLst>
              <a:ext uri="{FF2B5EF4-FFF2-40B4-BE49-F238E27FC236}">
                <a16:creationId xmlns:a16="http://schemas.microsoft.com/office/drawing/2014/main" id="{EE91658A-32D4-42D1-BC81-64086A2E4786}"/>
              </a:ext>
            </a:extLst>
          </xdr:cNvPr>
          <xdr:cNvSpPr/>
        </xdr:nvSpPr>
        <xdr:spPr>
          <a:xfrm>
            <a:off x="7061007" y="2613499"/>
            <a:ext cx="2578609" cy="1174171"/>
          </a:xfrm>
          <a:prstGeom prst="rect">
            <a:avLst/>
          </a:prstGeom>
          <a:noFill/>
          <a:ln w="3175">
            <a:solidFill>
              <a:srgbClr val="0B744D"/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0B744D"/>
              </a:solidFill>
              <a:latin typeface="+mn-lt"/>
            </a:endParaRPr>
          </a:p>
        </xdr:txBody>
      </xdr:sp>
      <xdr:sp macro="" textlink="">
        <xdr:nvSpPr>
          <xdr:cNvPr id="38" name="Text">
            <a:extLst>
              <a:ext uri="{FF2B5EF4-FFF2-40B4-BE49-F238E27FC236}">
                <a16:creationId xmlns:a16="http://schemas.microsoft.com/office/drawing/2014/main" id="{F7399226-A83D-4F49-97E9-57A640846FF2}"/>
              </a:ext>
            </a:extLst>
          </xdr:cNvPr>
          <xdr:cNvSpPr txBox="1"/>
        </xdr:nvSpPr>
        <xdr:spPr>
          <a:xfrm>
            <a:off x="7324725" y="2629001"/>
            <a:ext cx="2322889" cy="11230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="1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Lower Confidence Bound (Future Demand) and Upper Confidence Bound (Future Demand)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Column D and E uses the FORECAST.ETS.CONFINTfunction. Returns a confidence interval for the forecast value at the specified target date. A confidence interval of 95% means that 95% of future points are expected to fall within this radius from the result FORECAST.ETS forecasted (with normal distribution).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With reference to Figure 1, we can find the lower bounds of the confidence interval by subtracting the margin of error from the mean. 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">
        <xdr:nvSpPr>
          <xdr:cNvPr id="39" name="Number">
            <a:extLst>
              <a:ext uri="{FF2B5EF4-FFF2-40B4-BE49-F238E27FC236}">
                <a16:creationId xmlns:a16="http://schemas.microsoft.com/office/drawing/2014/main" id="{D2F919E2-DDF1-49AA-8D32-C360D382FD6D}"/>
              </a:ext>
            </a:extLst>
          </xdr:cNvPr>
          <xdr:cNvSpPr txBox="1"/>
        </xdr:nvSpPr>
        <xdr:spPr>
          <a:xfrm>
            <a:off x="7067550" y="2667002"/>
            <a:ext cx="274320" cy="3657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rPr>
              <a:t>D/E</a:t>
            </a:r>
          </a:p>
        </xdr:txBody>
      </xdr:sp>
    </xdr:grpSp>
    <xdr:clientData/>
  </xdr:twoCellAnchor>
  <xdr:oneCellAnchor>
    <xdr:from>
      <xdr:col>9</xdr:col>
      <xdr:colOff>584198</xdr:colOff>
      <xdr:row>7</xdr:row>
      <xdr:rowOff>490776</xdr:rowOff>
    </xdr:from>
    <xdr:ext cx="8033522" cy="172210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827BD03-6574-4317-BF5C-65B26D5C63FF}"/>
            </a:ext>
          </a:extLst>
        </xdr:cNvPr>
        <xdr:cNvSpPr txBox="1"/>
      </xdr:nvSpPr>
      <xdr:spPr>
        <a:xfrm>
          <a:off x="18025531" y="2596859"/>
          <a:ext cx="8033522" cy="1722103"/>
        </a:xfrm>
        <a:prstGeom prst="rect">
          <a:avLst/>
        </a:prstGeom>
        <a:noFill/>
        <a:ln>
          <a:solidFill>
            <a:srgbClr val="30966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For</a:t>
          </a:r>
          <a:r>
            <a:rPr lang="en-US" sz="105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 the same data</a:t>
          </a:r>
          <a:r>
            <a:rPr lang="en-US" sz="1050" baseline="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 and date ranges, </a:t>
          </a:r>
          <a:r>
            <a:rPr lang="en-US" sz="1050" b="1" baseline="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FORECAST.ETS.SEASONALITY </a:t>
          </a:r>
          <a:r>
            <a:rPr lang="en-US" sz="1050" baseline="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finds the seasonality detected in the data.</a:t>
          </a:r>
        </a:p>
        <a:p>
          <a:endParaRPr lang="en-US" sz="1050">
            <a:solidFill>
              <a:srgbClr val="0B744D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US" sz="105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The </a:t>
          </a:r>
          <a:r>
            <a:rPr lang="en-US" sz="1050" b="1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FORECAST.ETS.STAT</a:t>
          </a:r>
          <a:r>
            <a:rPr lang="en-US" sz="1050" b="1" baseline="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US" sz="1050" baseline="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function </a:t>
          </a:r>
          <a:r>
            <a:rPr lang="en-US" sz="105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finds a specific stat from the ETS algorithm for a given set of</a:t>
          </a:r>
          <a:r>
            <a:rPr lang="en-US" sz="1050">
              <a:solidFill>
                <a:srgbClr val="0B744D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data and date ranges</a:t>
          </a:r>
          <a:r>
            <a:rPr lang="en-US" sz="105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.  In this example, the 3rd argument (1) tells the function to return the Alpha parameter of the ETS algorithm. The 4th</a:t>
          </a:r>
          <a:r>
            <a:rPr lang="en-US" sz="1050" baseline="0">
              <a:solidFill>
                <a:srgbClr val="0B744D"/>
              </a:solidFill>
              <a:latin typeface="Segoe UI" panose="020B0502040204020203" pitchFamily="34" charset="0"/>
              <a:cs typeface="Segoe UI" panose="020B0502040204020203" pitchFamily="34" charset="0"/>
            </a:rPr>
            <a:t> parameter can be 1 to calculate the seasonality, 0 to use no seasonality, or a positive integer to specify the length of the seasonal pattern. In this example, it refers to K16, which is the searonality calculation (same as if you set it to 1).</a:t>
          </a:r>
          <a:endParaRPr lang="en-US" sz="1050">
            <a:solidFill>
              <a:srgbClr val="0B744D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10</xdr:col>
      <xdr:colOff>2</xdr:colOff>
      <xdr:row>19</xdr:row>
      <xdr:rowOff>38101</xdr:rowOff>
    </xdr:from>
    <xdr:to>
      <xdr:col>11</xdr:col>
      <xdr:colOff>542926</xdr:colOff>
      <xdr:row>20</xdr:row>
      <xdr:rowOff>95251</xdr:rowOff>
    </xdr:to>
    <xdr:sp macro="" textlink="">
      <xdr:nvSpPr>
        <xdr:cNvPr id="46" name="Containe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AB8395-7111-4AC0-B60E-21D7BBAB4017}"/>
            </a:ext>
          </a:extLst>
        </xdr:cNvPr>
        <xdr:cNvSpPr/>
      </xdr:nvSpPr>
      <xdr:spPr>
        <a:xfrm>
          <a:off x="9925052" y="16583026"/>
          <a:ext cx="1133474" cy="266700"/>
        </a:xfrm>
        <a:prstGeom prst="rect">
          <a:avLst/>
        </a:prstGeom>
        <a:noFill/>
        <a:ln w="3175">
          <a:solidFill>
            <a:srgbClr val="0B744D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B744D"/>
              </a:solidFill>
              <a:latin typeface="+mn-lt"/>
            </a:rPr>
            <a:t>Forecast chart</a:t>
          </a:r>
          <a:r>
            <a:rPr lang="en-US" sz="1100" baseline="0">
              <a:solidFill>
                <a:srgbClr val="0B744D"/>
              </a:solidFill>
              <a:latin typeface="+mn-lt"/>
            </a:rPr>
            <a:t> &gt;</a:t>
          </a:r>
          <a:endParaRPr lang="en-US" sz="1100">
            <a:solidFill>
              <a:srgbClr val="0B744D"/>
            </a:solidFill>
            <a:latin typeface="+mn-lt"/>
          </a:endParaRPr>
        </a:p>
      </xdr:txBody>
    </xdr:sp>
    <xdr:clientData/>
  </xdr:twoCellAnchor>
  <xdr:twoCellAnchor>
    <xdr:from>
      <xdr:col>4</xdr:col>
      <xdr:colOff>310395</xdr:colOff>
      <xdr:row>5</xdr:row>
      <xdr:rowOff>158528</xdr:rowOff>
    </xdr:from>
    <xdr:to>
      <xdr:col>4</xdr:col>
      <xdr:colOff>2801549</xdr:colOff>
      <xdr:row>7</xdr:row>
      <xdr:rowOff>300404</xdr:rowOff>
    </xdr:to>
    <xdr:sp macro="[0]!refresh" textlink="">
      <xdr:nvSpPr>
        <xdr:cNvPr id="2" name="Rounded Rectangle 1"/>
        <xdr:cNvSpPr/>
      </xdr:nvSpPr>
      <xdr:spPr>
        <a:xfrm>
          <a:off x="6492986" y="1595937"/>
          <a:ext cx="2491154" cy="55751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304800</xdr:colOff>
      <xdr:row>0</xdr:row>
      <xdr:rowOff>304800</xdr:rowOff>
    </xdr:to>
    <xdr:sp macro="" textlink="">
      <xdr:nvSpPr>
        <xdr:cNvPr id="1038" name="AutoShape 14" descr="https://www.statisticshowto.datasciencecentral.com/wp-content/uploads/2014/12/ci95-300x209.png"/>
        <xdr:cNvSpPr>
          <a:spLocks noChangeAspect="1" noChangeArrowheads="1"/>
        </xdr:cNvSpPr>
      </xdr:nvSpPr>
      <xdr:spPr bwMode="auto">
        <a:xfrm>
          <a:off x="2181225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22</xdr:col>
      <xdr:colOff>353098</xdr:colOff>
      <xdr:row>0</xdr:row>
      <xdr:rowOff>212629</xdr:rowOff>
    </xdr:from>
    <xdr:to>
      <xdr:col>28</xdr:col>
      <xdr:colOff>240529</xdr:colOff>
      <xdr:row>7</xdr:row>
      <xdr:rowOff>508625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08015" y="212629"/>
          <a:ext cx="3443431" cy="2402079"/>
        </a:xfrm>
        <a:prstGeom prst="rect">
          <a:avLst/>
        </a:prstGeom>
        <a:ln w="38100" cap="sq">
          <a:solidFill>
            <a:srgbClr val="0B744D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22</xdr:col>
      <xdr:colOff>347230</xdr:colOff>
      <xdr:row>0</xdr:row>
      <xdr:rowOff>243320</xdr:rowOff>
    </xdr:from>
    <xdr:to>
      <xdr:col>23</xdr:col>
      <xdr:colOff>543792</xdr:colOff>
      <xdr:row>0</xdr:row>
      <xdr:rowOff>535998</xdr:rowOff>
    </xdr:to>
    <xdr:sp macro="" textlink="">
      <xdr:nvSpPr>
        <xdr:cNvPr id="22" name="Text">
          <a:extLst>
            <a:ext uri="{FF2B5EF4-FFF2-40B4-BE49-F238E27FC236}">
              <a16:creationId xmlns:a16="http://schemas.microsoft.com/office/drawing/2014/main" id="{AF4E1A46-4AD2-4A38-8202-888BCA5ADED7}"/>
            </a:ext>
          </a:extLst>
        </xdr:cNvPr>
        <xdr:cNvSpPr txBox="1"/>
      </xdr:nvSpPr>
      <xdr:spPr>
        <a:xfrm>
          <a:off x="33427555" y="243320"/>
          <a:ext cx="787112" cy="2926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Figure 1:</a:t>
          </a:r>
        </a:p>
      </xdr:txBody>
    </xdr:sp>
    <xdr:clientData/>
  </xdr:twoCellAnchor>
  <xdr:twoCellAnchor>
    <xdr:from>
      <xdr:col>21</xdr:col>
      <xdr:colOff>491063</xdr:colOff>
      <xdr:row>7</xdr:row>
      <xdr:rowOff>767005</xdr:rowOff>
    </xdr:from>
    <xdr:to>
      <xdr:col>28</xdr:col>
      <xdr:colOff>465664</xdr:colOff>
      <xdr:row>20</xdr:row>
      <xdr:rowOff>84667</xdr:rowOff>
    </xdr:to>
    <xdr:grpSp>
      <xdr:nvGrpSpPr>
        <xdr:cNvPr id="23" name="Step 3">
          <a:extLst>
            <a:ext uri="{FF2B5EF4-FFF2-40B4-BE49-F238E27FC236}">
              <a16:creationId xmlns:a16="http://schemas.microsoft.com/office/drawing/2014/main" id="{F98B5C98-2968-4448-B362-18FBAAD8AD5A}"/>
            </a:ext>
          </a:extLst>
        </xdr:cNvPr>
        <xdr:cNvGrpSpPr/>
      </xdr:nvGrpSpPr>
      <xdr:grpSpPr>
        <a:xfrm>
          <a:off x="38435841" y="2848394"/>
          <a:ext cx="4271434" cy="3261717"/>
          <a:chOff x="7061007" y="2613499"/>
          <a:chExt cx="2586607" cy="1174171"/>
        </a:xfrm>
      </xdr:grpSpPr>
      <xdr:sp macro="" textlink="">
        <xdr:nvSpPr>
          <xdr:cNvPr id="24" name="Container">
            <a:extLst>
              <a:ext uri="{FF2B5EF4-FFF2-40B4-BE49-F238E27FC236}">
                <a16:creationId xmlns:a16="http://schemas.microsoft.com/office/drawing/2014/main" id="{EE91658A-32D4-42D1-BC81-64086A2E4786}"/>
              </a:ext>
            </a:extLst>
          </xdr:cNvPr>
          <xdr:cNvSpPr/>
        </xdr:nvSpPr>
        <xdr:spPr>
          <a:xfrm>
            <a:off x="7061007" y="2613499"/>
            <a:ext cx="2578609" cy="1174171"/>
          </a:xfrm>
          <a:prstGeom prst="rect">
            <a:avLst/>
          </a:prstGeom>
          <a:noFill/>
          <a:ln w="3175">
            <a:solidFill>
              <a:srgbClr val="0B744D"/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0B744D"/>
              </a:solidFill>
              <a:latin typeface="+mn-lt"/>
            </a:endParaRPr>
          </a:p>
        </xdr:txBody>
      </xdr:sp>
      <xdr:sp macro="" textlink="">
        <xdr:nvSpPr>
          <xdr:cNvPr id="25" name="Text">
            <a:extLst>
              <a:ext uri="{FF2B5EF4-FFF2-40B4-BE49-F238E27FC236}">
                <a16:creationId xmlns:a16="http://schemas.microsoft.com/office/drawing/2014/main" id="{F7399226-A83D-4F49-97E9-57A640846FF2}"/>
              </a:ext>
            </a:extLst>
          </xdr:cNvPr>
          <xdr:cNvSpPr txBox="1"/>
        </xdr:nvSpPr>
        <xdr:spPr>
          <a:xfrm>
            <a:off x="7070798" y="2629001"/>
            <a:ext cx="2576816" cy="11230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="1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Symmetric Mean Absolute Percent Error (SMAPE) </a:t>
            </a:r>
            <a:r>
              <a:rPr lang="en-US" sz="1050" b="0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is an alternative to Mean Absolute Percent Error (MAPE) when there are zero or near-zero demand for items. SMAPE self-limits to an error rate of 200%, reducing the influence of these low volume items. Low volume items are problematic because they could otherwise have infinitely high error rates that skew the overall error rate.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050" b="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="0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SMAPE is the forecast minus actuals divided by the sum of forecasts and actuals as expressed in this formula: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050" b="1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endParaRPr>
          </a:p>
        </xdr:txBody>
      </xdr:sp>
    </xdr:grpSp>
    <xdr:clientData/>
  </xdr:twoCellAnchor>
  <xdr:twoCellAnchor editAs="oneCell">
    <xdr:from>
      <xdr:col>21</xdr:col>
      <xdr:colOff>558579</xdr:colOff>
      <xdr:row>14</xdr:row>
      <xdr:rowOff>129475</xdr:rowOff>
    </xdr:from>
    <xdr:to>
      <xdr:col>24</xdr:col>
      <xdr:colOff>582599</xdr:colOff>
      <xdr:row>19</xdr:row>
      <xdr:rowOff>68314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11615" y="4810332"/>
          <a:ext cx="1779342" cy="957107"/>
        </a:xfrm>
        <a:prstGeom prst="rect">
          <a:avLst/>
        </a:prstGeom>
      </xdr:spPr>
    </xdr:pic>
    <xdr:clientData/>
  </xdr:twoCellAnchor>
  <xdr:twoCellAnchor editAs="oneCell">
    <xdr:from>
      <xdr:col>0</xdr:col>
      <xdr:colOff>277090</xdr:colOff>
      <xdr:row>0</xdr:row>
      <xdr:rowOff>112568</xdr:rowOff>
    </xdr:from>
    <xdr:to>
      <xdr:col>0</xdr:col>
      <xdr:colOff>2486890</xdr:colOff>
      <xdr:row>1</xdr:row>
      <xdr:rowOff>230332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90" y="112568"/>
          <a:ext cx="2209800" cy="723900"/>
        </a:xfrm>
        <a:prstGeom prst="rect">
          <a:avLst/>
        </a:prstGeom>
      </xdr:spPr>
    </xdr:pic>
    <xdr:clientData/>
  </xdr:twoCellAnchor>
  <xdr:twoCellAnchor>
    <xdr:from>
      <xdr:col>6</xdr:col>
      <xdr:colOff>291307</xdr:colOff>
      <xdr:row>4</xdr:row>
      <xdr:rowOff>88106</xdr:rowOff>
    </xdr:from>
    <xdr:to>
      <xdr:col>6</xdr:col>
      <xdr:colOff>2621757</xdr:colOff>
      <xdr:row>7</xdr:row>
      <xdr:rowOff>1357312</xdr:rowOff>
    </xdr:to>
    <xdr:grpSp>
      <xdr:nvGrpSpPr>
        <xdr:cNvPr id="26" name="Step 3">
          <a:extLst>
            <a:ext uri="{FF2B5EF4-FFF2-40B4-BE49-F238E27FC236}">
              <a16:creationId xmlns:a16="http://schemas.microsoft.com/office/drawing/2014/main" id="{186F0511-7DF0-4B28-94A9-66E7FE7C5DF7}"/>
            </a:ext>
          </a:extLst>
        </xdr:cNvPr>
        <xdr:cNvGrpSpPr/>
      </xdr:nvGrpSpPr>
      <xdr:grpSpPr>
        <a:xfrm>
          <a:off x="15700640" y="1534495"/>
          <a:ext cx="2330450" cy="1904206"/>
          <a:chOff x="7061007" y="2613499"/>
          <a:chExt cx="2586607" cy="1174171"/>
        </a:xfrm>
      </xdr:grpSpPr>
      <xdr:sp macro="" textlink="">
        <xdr:nvSpPr>
          <xdr:cNvPr id="27" name="Container">
            <a:extLst>
              <a:ext uri="{FF2B5EF4-FFF2-40B4-BE49-F238E27FC236}">
                <a16:creationId xmlns:a16="http://schemas.microsoft.com/office/drawing/2014/main" id="{D1E4AEC4-F987-4256-BEBE-4E35571E8030}"/>
              </a:ext>
            </a:extLst>
          </xdr:cNvPr>
          <xdr:cNvSpPr/>
        </xdr:nvSpPr>
        <xdr:spPr>
          <a:xfrm>
            <a:off x="7061007" y="2613499"/>
            <a:ext cx="2578609" cy="1174171"/>
          </a:xfrm>
          <a:prstGeom prst="rect">
            <a:avLst/>
          </a:prstGeom>
          <a:noFill/>
          <a:ln w="3175">
            <a:solidFill>
              <a:srgbClr val="0B744D"/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0B744D"/>
              </a:solidFill>
              <a:latin typeface="+mn-lt"/>
            </a:endParaRPr>
          </a:p>
        </xdr:txBody>
      </xdr:sp>
      <xdr:sp macro="" textlink="">
        <xdr:nvSpPr>
          <xdr:cNvPr id="28" name="Text">
            <a:extLst>
              <a:ext uri="{FF2B5EF4-FFF2-40B4-BE49-F238E27FC236}">
                <a16:creationId xmlns:a16="http://schemas.microsoft.com/office/drawing/2014/main" id="{7045C6CB-7B5A-4E9B-91A5-B767DBC03ACF}"/>
              </a:ext>
            </a:extLst>
          </xdr:cNvPr>
          <xdr:cNvSpPr txBox="1"/>
        </xdr:nvSpPr>
        <xdr:spPr>
          <a:xfrm>
            <a:off x="7324724" y="2629002"/>
            <a:ext cx="2322890" cy="11177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="1" u="sng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Sample SKU To Test</a:t>
            </a:r>
            <a:r>
              <a:rPr lang="en-US" sz="1050" u="sng" baseline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	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P0607 - CISI</a:t>
            </a:r>
            <a:r>
              <a:rPr lang="en-US" sz="1050"/>
              <a:t> </a:t>
            </a:r>
            <a:r>
              <a:rPr lang="en-US" sz="1100" b="1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Ink Bottle -4CL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V11H842052 - EB-S41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V11H843052 - EB-X41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V11H844052 - EB-W41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V11H846052 - EB-U42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V11H865052 - EB-970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05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4</xdr:col>
      <xdr:colOff>312319</xdr:colOff>
      <xdr:row>7</xdr:row>
      <xdr:rowOff>442354</xdr:rowOff>
    </xdr:from>
    <xdr:to>
      <xdr:col>4</xdr:col>
      <xdr:colOff>2803473</xdr:colOff>
      <xdr:row>7</xdr:row>
      <xdr:rowOff>1007563</xdr:rowOff>
    </xdr:to>
    <xdr:sp macro="[0]!start" textlink="">
      <xdr:nvSpPr>
        <xdr:cNvPr id="29" name="Rounded Rectangle 28"/>
        <xdr:cNvSpPr/>
      </xdr:nvSpPr>
      <xdr:spPr>
        <a:xfrm>
          <a:off x="7614819" y="2548437"/>
          <a:ext cx="2491154" cy="56520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INSERT MONTH</a:t>
          </a:r>
          <a:r>
            <a:rPr lang="en-US" sz="2400" baseline="0"/>
            <a:t> </a:t>
          </a:r>
          <a:endParaRPr lang="en-US" sz="2400"/>
        </a:p>
      </xdr:txBody>
    </xdr:sp>
    <xdr:clientData/>
  </xdr:twoCellAnchor>
  <xdr:twoCellAnchor>
    <xdr:from>
      <xdr:col>17</xdr:col>
      <xdr:colOff>158750</xdr:colOff>
      <xdr:row>21</xdr:row>
      <xdr:rowOff>161471</xdr:rowOff>
    </xdr:from>
    <xdr:to>
      <xdr:col>24</xdr:col>
      <xdr:colOff>582084</xdr:colOff>
      <xdr:row>29</xdr:row>
      <xdr:rowOff>129570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153080</xdr:colOff>
      <xdr:row>30</xdr:row>
      <xdr:rowOff>97971</xdr:rowOff>
    </xdr:from>
    <xdr:to>
      <xdr:col>24</xdr:col>
      <xdr:colOff>581705</xdr:colOff>
      <xdr:row>43</xdr:row>
      <xdr:rowOff>99332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1906322</xdr:colOff>
      <xdr:row>34</xdr:row>
      <xdr:rowOff>56884</xdr:rowOff>
    </xdr:from>
    <xdr:to>
      <xdr:col>5</xdr:col>
      <xdr:colOff>1132416</xdr:colOff>
      <xdr:row>60</xdr:row>
      <xdr:rowOff>92603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214312</xdr:colOff>
      <xdr:row>2</xdr:row>
      <xdr:rowOff>-1</xdr:rowOff>
    </xdr:from>
    <xdr:to>
      <xdr:col>27</xdr:col>
      <xdr:colOff>179917</xdr:colOff>
      <xdr:row>51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D72AF-DEF2-4DB2-ABA4-C5CD69791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</xdr:colOff>
      <xdr:row>0</xdr:row>
      <xdr:rowOff>219075</xdr:rowOff>
    </xdr:from>
    <xdr:to>
      <xdr:col>18</xdr:col>
      <xdr:colOff>76200</xdr:colOff>
      <xdr:row>0</xdr:row>
      <xdr:rowOff>485775</xdr:rowOff>
    </xdr:to>
    <xdr:sp macro="" textlink="">
      <xdr:nvSpPr>
        <xdr:cNvPr id="3" name="Containe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D1CC7DB-A6DF-4AEC-9B41-50D53883189C}"/>
            </a:ext>
          </a:extLst>
        </xdr:cNvPr>
        <xdr:cNvSpPr/>
      </xdr:nvSpPr>
      <xdr:spPr>
        <a:xfrm>
          <a:off x="10391775" y="219075"/>
          <a:ext cx="657225" cy="266700"/>
        </a:xfrm>
        <a:prstGeom prst="rect">
          <a:avLst/>
        </a:prstGeom>
        <a:noFill/>
        <a:ln w="3175">
          <a:solidFill>
            <a:srgbClr val="0B744D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B744D"/>
              </a:solidFill>
              <a:latin typeface="+mn-lt"/>
            </a:rPr>
            <a:t>&lt; Home</a:t>
          </a:r>
        </a:p>
      </xdr:txBody>
    </xdr:sp>
    <xdr:clientData/>
  </xdr:twoCellAnchor>
  <xdr:twoCellAnchor>
    <xdr:from>
      <xdr:col>28</xdr:col>
      <xdr:colOff>0</xdr:colOff>
      <xdr:row>2</xdr:row>
      <xdr:rowOff>0</xdr:rowOff>
    </xdr:from>
    <xdr:to>
      <xdr:col>32</xdr:col>
      <xdr:colOff>62279</xdr:colOff>
      <xdr:row>4</xdr:row>
      <xdr:rowOff>176512</xdr:rowOff>
    </xdr:to>
    <xdr:sp macro="[0]!refresh" textlink="">
      <xdr:nvSpPr>
        <xdr:cNvPr id="5" name="Rounded Rectangle 4"/>
        <xdr:cNvSpPr/>
      </xdr:nvSpPr>
      <xdr:spPr>
        <a:xfrm>
          <a:off x="17002125" y="797719"/>
          <a:ext cx="2491154" cy="55751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562768</xdr:colOff>
      <xdr:row>0</xdr:row>
      <xdr:rowOff>125678</xdr:rowOff>
    </xdr:from>
    <xdr:to>
      <xdr:col>14</xdr:col>
      <xdr:colOff>1047750</xdr:colOff>
      <xdr:row>2</xdr:row>
      <xdr:rowOff>209021</xdr:rowOff>
    </xdr:to>
    <xdr:sp macro="[0]!refresh" textlink="">
      <xdr:nvSpPr>
        <xdr:cNvPr id="2" name="Rounded Rectangle 1"/>
        <xdr:cNvSpPr/>
      </xdr:nvSpPr>
      <xdr:spPr>
        <a:xfrm>
          <a:off x="10331185" y="125678"/>
          <a:ext cx="3585898" cy="94059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3200"/>
            <a:t>REFRESH</a:t>
          </a:r>
          <a:r>
            <a:rPr lang="en-SG" sz="3200" baseline="0"/>
            <a:t> DATA</a:t>
          </a:r>
          <a:endParaRPr lang="en-SG" sz="3200"/>
        </a:p>
      </xdr:txBody>
    </xdr:sp>
    <xdr:clientData/>
  </xdr:twoCellAnchor>
  <xdr:twoCellAnchor editAs="oneCell">
    <xdr:from>
      <xdr:col>0</xdr:col>
      <xdr:colOff>242454</xdr:colOff>
      <xdr:row>0</xdr:row>
      <xdr:rowOff>95250</xdr:rowOff>
    </xdr:from>
    <xdr:to>
      <xdr:col>0</xdr:col>
      <xdr:colOff>2452254</xdr:colOff>
      <xdr:row>1</xdr:row>
      <xdr:rowOff>202430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454" y="95250"/>
          <a:ext cx="2209800" cy="731597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2</xdr:row>
      <xdr:rowOff>275941</xdr:rowOff>
    </xdr:from>
    <xdr:to>
      <xdr:col>0</xdr:col>
      <xdr:colOff>2268682</xdr:colOff>
      <xdr:row>5</xdr:row>
      <xdr:rowOff>170296</xdr:rowOff>
    </xdr:to>
    <xdr:pic macro="[0]!CONFIDENTIAL">
      <xdr:nvPicPr>
        <xdr:cNvPr id="36" name="Picture 35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624" b="31818"/>
        <a:stretch/>
      </xdr:blipFill>
      <xdr:spPr>
        <a:xfrm>
          <a:off x="190500" y="1133191"/>
          <a:ext cx="2078182" cy="5928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8</xdr:col>
      <xdr:colOff>52754</xdr:colOff>
      <xdr:row>4</xdr:row>
      <xdr:rowOff>176512</xdr:rowOff>
    </xdr:to>
    <xdr:sp macro="[0]!refresh" textlink="">
      <xdr:nvSpPr>
        <xdr:cNvPr id="3" name="Rounded Rectangle 2"/>
        <xdr:cNvSpPr/>
      </xdr:nvSpPr>
      <xdr:spPr>
        <a:xfrm>
          <a:off x="5019675" y="381000"/>
          <a:ext cx="2491154" cy="55751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8</xdr:col>
      <xdr:colOff>52754</xdr:colOff>
      <xdr:row>8</xdr:row>
      <xdr:rowOff>176512</xdr:rowOff>
    </xdr:to>
    <xdr:sp macro="[0]!NewText" textlink="">
      <xdr:nvSpPr>
        <xdr:cNvPr id="4" name="Rounded Rectangle 3"/>
        <xdr:cNvSpPr/>
      </xdr:nvSpPr>
      <xdr:spPr>
        <a:xfrm>
          <a:off x="5012531" y="1143000"/>
          <a:ext cx="2481629" cy="55751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INSERT</a:t>
          </a:r>
          <a:r>
            <a:rPr lang="en-US" sz="2400" baseline="0"/>
            <a:t> NEW TEXT</a:t>
          </a:r>
          <a:endParaRPr 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9:I33" totalsRowShown="0" headerRowDxfId="21" dataDxfId="19" headerRowBorderDxfId="20" tableBorderDxfId="18">
  <autoFilter ref="A9:I33"/>
  <tableColumns count="9">
    <tableColumn id="8" name="Scenario" dataDxfId="17">
      <calculatedColumnFormula>IFERROR(CONCATENATE("Mth_",TEXT(B10-2,"MMM"), " Final"),"NA")</calculatedColumnFormula>
    </tableColumn>
    <tableColumn id="6" name="Alternative Date Format" dataDxfId="16"/>
    <tableColumn id="1" name="Date" dataDxfId="15">
      <calculatedColumnFormula>IFERROR(IF(B10="", "NA",CONCATENATE(YEAR(B10)," ",TEXT(B10,"MMM"))),"NA")</calculatedColumnFormula>
    </tableColumn>
    <tableColumn id="2" name="Actual Demand" dataDxfId="14"/>
    <tableColumn id="7" name="Previous Forecasts" dataDxfId="13">
      <calculatedColumnFormula>IF(OR($B$21="",C10="NA"),"NA",_xll.DBRW($C$2,IF(TEXT($B10,"MMM")="Apr",TEXT($B10-365,"YYYY"), TEXT($B10,"YYYY")),CONCATENATE("Mth_",TEXT($B10-2,"MMM"), " Final"),TEXT($C10,"YYYY MMM"),$C$6,$F$3,$C$4))</calculatedColumnFormula>
    </tableColumn>
    <tableColumn id="10" name="Averaged Forecasts" dataDxfId="12"/>
    <tableColumn id="3" name="Predictive Demand Forecasts" dataDxfId="11"/>
    <tableColumn id="4" name="Lower Confidence Bound (Future Demand)" dataDxfId="10"/>
    <tableColumn id="5" name="Upper Confidence Bound (Future Demand)" dataDxfId="9"/>
  </tableColumns>
  <tableStyleInfo name="CustomTableStyle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K22:Q34" totalsRowShown="0" headerRowDxfId="8" dataDxfId="7">
  <autoFilter ref="K22:Q34"/>
  <tableColumns count="7">
    <tableColumn id="1" name="Period" dataDxfId="6"/>
    <tableColumn id="2" name="Month" dataDxfId="5">
      <calculatedColumnFormula>C22</calculatedColumnFormula>
    </tableColumn>
    <tableColumn id="3" name="Actual Sales" dataDxfId="4">
      <calculatedColumnFormula>IFERROR(IF(AND(ISBLANK($F$3),ISBLANK($F$4)),"NA",_xll.DBRW($C$3,$C$6,$F$3,$L23,$C$4)),"NA")</calculatedColumnFormula>
    </tableColumn>
    <tableColumn id="7" name="Previous Forecasts" dataDxfId="3">
      <calculatedColumnFormula>E22</calculatedColumnFormula>
    </tableColumn>
    <tableColumn id="4" name="New Forecast" dataDxfId="2">
      <calculatedColumnFormula>F22</calculatedColumnFormula>
    </tableColumn>
    <tableColumn id="5" name="Error Percentage_x000a_Actual VS Previous Forecast" dataDxfId="1">
      <calculatedColumnFormula>IFERROR(IF(OR(B21="", B21="NA"),"NA",IF(AND(N23=0,M23=0),0,ABS(N23-M23)/N23)),"NA")</calculatedColumnFormula>
    </tableColumn>
    <tableColumn id="8" name="Error Percentage_x000a_Actual VS New Forecast" dataDxfId="0">
      <calculatedColumnFormula>IFERROR(IF(OR(B21="", B21="NA"),"NA",IF(AND(O23=0,N23=0),0,ABS(O23-N23)/O23)),"NA")</calculatedColumnFormula>
    </tableColumn>
  </tableColumns>
  <tableStyleInfo name="Custom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7"/>
  <sheetViews>
    <sheetView showGridLines="0" tabSelected="1" zoomScale="90" zoomScaleNormal="90" workbookViewId="0">
      <selection activeCell="A8" sqref="A8"/>
    </sheetView>
  </sheetViews>
  <sheetFormatPr defaultColWidth="8.81640625" defaultRowHeight="16.5" x14ac:dyDescent="0.45"/>
  <cols>
    <col min="1" max="1" width="45.54296875" style="1" customWidth="1"/>
    <col min="2" max="2" width="25.26953125" style="1" customWidth="1"/>
    <col min="3" max="3" width="29" style="1" bestFit="1" customWidth="1"/>
    <col min="4" max="4" width="16.453125" style="1" customWidth="1"/>
    <col min="5" max="5" width="44.7265625" style="1" bestFit="1" customWidth="1"/>
    <col min="6" max="6" width="59.54296875" style="1" bestFit="1" customWidth="1"/>
    <col min="7" max="7" width="41.81640625" style="1" customWidth="1"/>
    <col min="8" max="9" width="42.26953125" style="1" bestFit="1" customWidth="1"/>
    <col min="10" max="10" width="9.1796875" style="1" bestFit="1" customWidth="1"/>
    <col min="11" max="11" width="17" style="1" bestFit="1" customWidth="1"/>
    <col min="12" max="12" width="17.453125" style="1" bestFit="1" customWidth="1"/>
    <col min="13" max="13" width="24.453125" style="1" customWidth="1"/>
    <col min="14" max="14" width="21.7265625" style="1" customWidth="1"/>
    <col min="15" max="15" width="17.54296875" style="1" bestFit="1" customWidth="1"/>
    <col min="16" max="16" width="29.1796875" style="1" customWidth="1"/>
    <col min="17" max="17" width="24.453125" style="1" customWidth="1"/>
    <col min="18" max="21" width="8.81640625" style="1"/>
    <col min="22" max="22" width="8.81640625" style="1" customWidth="1"/>
    <col min="23" max="16384" width="8.81640625" style="1"/>
  </cols>
  <sheetData>
    <row r="1" spans="1:23" ht="46" x14ac:dyDescent="1.1499999999999999">
      <c r="B1" s="4" t="s">
        <v>21</v>
      </c>
      <c r="W1"/>
    </row>
    <row r="2" spans="1:23" s="46" customFormat="1" ht="34.5" customHeight="1" x14ac:dyDescent="0.45">
      <c r="B2" s="75" t="s">
        <v>3</v>
      </c>
      <c r="C2" s="63" t="s">
        <v>24</v>
      </c>
    </row>
    <row r="3" spans="1:23" s="46" customFormat="1" x14ac:dyDescent="0.45">
      <c r="B3" s="75"/>
      <c r="C3" s="52" t="s">
        <v>4</v>
      </c>
      <c r="E3" s="51" t="s">
        <v>5</v>
      </c>
      <c r="F3" s="52"/>
      <c r="G3" s="43" t="str">
        <f>HYPERLINK("#"&amp;ADDRESS(ROW(),COLUMN()-1),CHAR(128))</f>
        <v>€</v>
      </c>
    </row>
    <row r="4" spans="1:23" s="46" customFormat="1" x14ac:dyDescent="0.45">
      <c r="B4" s="51" t="s">
        <v>6</v>
      </c>
      <c r="C4" s="52" t="s">
        <v>7</v>
      </c>
      <c r="E4" s="51" t="s">
        <v>8</v>
      </c>
      <c r="F4" s="41"/>
      <c r="G4" s="43" t="str">
        <f>HYPERLINK("#"&amp;ADDRESS(ROW(),COLUMN()-1),CHAR(128))</f>
        <v>€</v>
      </c>
    </row>
    <row r="5" spans="1:23" s="46" customFormat="1" x14ac:dyDescent="0.45"/>
    <row r="6" spans="1:23" s="46" customFormat="1" x14ac:dyDescent="0.45">
      <c r="B6" s="51" t="s">
        <v>9</v>
      </c>
      <c r="C6" s="52"/>
      <c r="D6" s="43" t="str">
        <f>HYPERLINK("#"&amp;ADDRESS(ROW(),COLUMN()-1),CHAR(128))</f>
        <v>€</v>
      </c>
    </row>
    <row r="7" spans="1:23" s="46" customFormat="1" x14ac:dyDescent="0.45">
      <c r="B7" s="51" t="s">
        <v>20</v>
      </c>
      <c r="C7" s="56" t="str">
        <f>IFERROR(CONCATENATE(TEXT($B$22,"MMM-YY"),"  to ", TEXT($B$33,"MMM-YY")),"NA")</f>
        <v>Apr-18  to Mar-19</v>
      </c>
    </row>
    <row r="8" spans="1:23" s="46" customFormat="1" ht="109.5" customHeight="1" thickBot="1" x14ac:dyDescent="0.5"/>
    <row r="9" spans="1:23" s="46" customFormat="1" ht="17" thickBot="1" x14ac:dyDescent="0.5">
      <c r="A9" s="70" t="s">
        <v>25</v>
      </c>
      <c r="B9" s="70" t="s">
        <v>13</v>
      </c>
      <c r="C9" s="71" t="s">
        <v>0</v>
      </c>
      <c r="D9" s="71" t="s">
        <v>14</v>
      </c>
      <c r="E9" s="71" t="s">
        <v>23</v>
      </c>
      <c r="F9" s="71" t="s">
        <v>43</v>
      </c>
      <c r="G9" s="71" t="s">
        <v>42</v>
      </c>
      <c r="H9" s="71" t="s">
        <v>15</v>
      </c>
      <c r="I9" s="72" t="s">
        <v>16</v>
      </c>
    </row>
    <row r="10" spans="1:23" s="46" customFormat="1" x14ac:dyDescent="0.45">
      <c r="A10" s="64" t="str">
        <f t="shared" ref="A10:A33" si="0">IFERROR(CONCATENATE("Mth_",TEXT(B10-2,"MMM"), " Final"),"NA")</f>
        <v>Mth_Mar Final</v>
      </c>
      <c r="B10" s="59">
        <f t="shared" ref="B10:B20" si="1">IF($B$21&lt;&gt;"",EDATE(B11,-1),"NA")</f>
        <v>42826</v>
      </c>
      <c r="C10" s="66" t="str">
        <f t="shared" ref="C10:C33" si="2">IFERROR(IF(B10="", "NA",CONCATENATE(YEAR(B10)," ",TEXT(B10,"MMM"))),"NA")</f>
        <v>2017 Apr</v>
      </c>
      <c r="D10" s="67" t="str">
        <f>IFERROR(IF(AND(ISBLANK($F$3),ISBLANK($F$4)),"NA",_xll.DBRW($C$3,$C$6,$F$3,$C10,$C$4)),"NA")</f>
        <v>NA</v>
      </c>
      <c r="E10" s="67" t="e">
        <f ca="1">IF(OR($B$21="",C10="NA"),"NA",_xll.DBRW($C$2,IF(TEXT($B10,"MMM")="Apr",TEXT($B10-365,"YYYY"), TEXT($B10,"YYYY")),CONCATENATE("Mth_",TEXT($B10-2,"MMM"), " Final"),TEXT($C10,"YYYY MMM"),$C$6,$F$3,$C$4))</f>
        <v>#NAME?</v>
      </c>
      <c r="F10" s="67"/>
      <c r="G10" s="67"/>
      <c r="H10" s="67"/>
      <c r="I10" s="67"/>
    </row>
    <row r="11" spans="1:23" s="46" customFormat="1" x14ac:dyDescent="0.45">
      <c r="A11" s="64" t="str">
        <f t="shared" si="0"/>
        <v>Mth_Apr Final</v>
      </c>
      <c r="B11" s="59">
        <f t="shared" si="1"/>
        <v>42856</v>
      </c>
      <c r="C11" s="66" t="str">
        <f t="shared" si="2"/>
        <v>2017 May</v>
      </c>
      <c r="D11" s="67" t="str">
        <f>IFERROR(IF(AND(ISBLANK($F$3),ISBLANK($F$4)),"NA",_xll.DBRW($C$3,$C$6,$F$3,$C11,$C$4)),"NA")</f>
        <v>NA</v>
      </c>
      <c r="E11" s="67" t="e">
        <f ca="1">IF(OR($B$21="",C11="NA"),"NA",_xll.DBRW($C$2,IF(TEXT($B11,"MMM")="Apr",TEXT($B11-365,"YYYY"), TEXT($B11,"YYYY")),CONCATENATE("Mth_",TEXT($B11-2,"MMM"), " Final"),TEXT($C11,"YYYY MMM"),$C$6,$F$3,$C$4))</f>
        <v>#NAME?</v>
      </c>
      <c r="F11" s="67"/>
      <c r="G11" s="67"/>
      <c r="H11" s="67"/>
      <c r="I11" s="67"/>
    </row>
    <row r="12" spans="1:23" s="46" customFormat="1" x14ac:dyDescent="0.45">
      <c r="A12" s="64" t="str">
        <f t="shared" si="0"/>
        <v>Mth_May Final</v>
      </c>
      <c r="B12" s="59">
        <f t="shared" si="1"/>
        <v>42887</v>
      </c>
      <c r="C12" s="66" t="str">
        <f t="shared" si="2"/>
        <v>2017 Jun</v>
      </c>
      <c r="D12" s="67" t="str">
        <f>IFERROR(IF(AND(ISBLANK($F$3),ISBLANK($F$4)),"NA",_xll.DBRW($C$3,$C$6,$F$3,$C12,$C$4)),"NA")</f>
        <v>NA</v>
      </c>
      <c r="E12" s="67" t="e">
        <f ca="1">IF(OR($B$21="",C12="NA"),"NA",_xll.DBRW($C$2,IF(TEXT($B12,"MMM")="Apr",TEXT($B12-365,"YYYY"), TEXT($B12,"YYYY")),CONCATENATE("Mth_",TEXT($B12-2,"MMM"), " Final"),TEXT($C12,"YYYY MMM"),$C$6,$F$3,$C$4))</f>
        <v>#NAME?</v>
      </c>
      <c r="F12" s="67"/>
      <c r="G12" s="67"/>
      <c r="H12" s="67"/>
      <c r="I12" s="67"/>
    </row>
    <row r="13" spans="1:23" s="46" customFormat="1" x14ac:dyDescent="0.45">
      <c r="A13" s="64" t="str">
        <f t="shared" si="0"/>
        <v>Mth_Jun Final</v>
      </c>
      <c r="B13" s="59">
        <f t="shared" si="1"/>
        <v>42917</v>
      </c>
      <c r="C13" s="66" t="str">
        <f t="shared" si="2"/>
        <v>2017 Jul</v>
      </c>
      <c r="D13" s="67" t="str">
        <f>IFERROR(IF(AND(ISBLANK($F$3),ISBLANK($F$4)),"NA",_xll.DBRW($C$3,$C$6,$F$3,$C13,$C$4)),"NA")</f>
        <v>NA</v>
      </c>
      <c r="E13" s="67" t="e">
        <f ca="1">IF(OR($B$21="",C13="NA"),"NA",_xll.DBRW($C$2,IF(TEXT($B13,"MMM")="Apr",TEXT($B13-365,"YYYY"), TEXT($B13,"YYYY")),CONCATENATE("Mth_",TEXT($B13-2,"MMM"), " Final"),TEXT($C13,"YYYY MMM"),$C$6,$F$3,$C$4))</f>
        <v>#NAME?</v>
      </c>
      <c r="F13" s="67"/>
      <c r="G13" s="67"/>
      <c r="H13" s="67"/>
      <c r="I13" s="67"/>
    </row>
    <row r="14" spans="1:23" s="46" customFormat="1" x14ac:dyDescent="0.45">
      <c r="A14" s="64" t="str">
        <f t="shared" si="0"/>
        <v>Mth_Jul Final</v>
      </c>
      <c r="B14" s="59">
        <f t="shared" si="1"/>
        <v>42948</v>
      </c>
      <c r="C14" s="66" t="str">
        <f t="shared" si="2"/>
        <v>2017 Aug</v>
      </c>
      <c r="D14" s="67" t="str">
        <f>IFERROR(IF(AND(ISBLANK($F$3),ISBLANK($F$4)),"NA",_xll.DBRW($C$3,$C$6,$F$3,$C14,$C$4)),"NA")</f>
        <v>NA</v>
      </c>
      <c r="E14" s="67" t="e">
        <f ca="1">IF(OR($B$21="",C14="NA"),"NA",_xll.DBRW($C$2,IF(TEXT($B14,"MMM")="Apr",TEXT($B14-365,"YYYY"), TEXT($B14,"YYYY")),CONCATENATE("Mth_",TEXT($B14-2,"MMM"), " Final"),TEXT($C14,"YYYY MMM"),$C$6,$F$3,$C$4))</f>
        <v>#NAME?</v>
      </c>
      <c r="F14" s="67"/>
      <c r="G14" s="67"/>
      <c r="H14" s="67"/>
      <c r="I14" s="67"/>
    </row>
    <row r="15" spans="1:23" s="46" customFormat="1" x14ac:dyDescent="0.45">
      <c r="A15" s="64" t="str">
        <f t="shared" si="0"/>
        <v>Mth_Aug Final</v>
      </c>
      <c r="B15" s="59">
        <f t="shared" si="1"/>
        <v>42979</v>
      </c>
      <c r="C15" s="66" t="str">
        <f t="shared" si="2"/>
        <v>2017 Sep</v>
      </c>
      <c r="D15" s="67" t="str">
        <f>IFERROR(IF(AND(ISBLANK($F$3),ISBLANK($F$4)),"NA",_xll.DBRW($C$3,$C$6,$F$3,$C15,$C$4)),"NA")</f>
        <v>NA</v>
      </c>
      <c r="E15" s="67" t="e">
        <f ca="1">IF(OR($B$21="",C15="NA"),"NA",_xll.DBRW($C$2,IF(TEXT($B15,"MMM")="Apr",TEXT($B15-365,"YYYY"), TEXT($B15,"YYYY")),CONCATENATE("Mth_",TEXT($B15-2,"MMM"), " Final"),TEXT($C15,"YYYY MMM"),$C$6,$F$3,$C$4))</f>
        <v>#NAME?</v>
      </c>
      <c r="F15" s="67"/>
      <c r="G15" s="67"/>
      <c r="H15" s="67"/>
      <c r="I15" s="67"/>
      <c r="K15" s="42" t="s">
        <v>2</v>
      </c>
    </row>
    <row r="16" spans="1:23" s="46" customFormat="1" x14ac:dyDescent="0.45">
      <c r="A16" s="64" t="str">
        <f t="shared" si="0"/>
        <v>Mth_Sep Final</v>
      </c>
      <c r="B16" s="59">
        <f t="shared" si="1"/>
        <v>43009</v>
      </c>
      <c r="C16" s="66" t="str">
        <f t="shared" si="2"/>
        <v>2017 Oct</v>
      </c>
      <c r="D16" s="67" t="str">
        <f>IFERROR(IF(AND(ISBLANK($F$3),ISBLANK($F$4)),"NA",_xll.DBRW($C$3,$C$6,$F$3,$C16,$C$4)),"NA")</f>
        <v>NA</v>
      </c>
      <c r="E16" s="67" t="e">
        <f ca="1">IF(OR($B$21="",C16="NA"),"NA",_xll.DBRW($C$2,IF(TEXT($B16,"MMM")="Apr",TEXT($B16-365,"YYYY"), TEXT($B16,"YYYY")),CONCATENATE("Mth_",TEXT($B16-2,"MMM"), " Final"),TEXT($C16,"YYYY MMM"),$C$6,$F$3,$C$4))</f>
        <v>#NAME?</v>
      </c>
      <c r="F16" s="67"/>
      <c r="G16" s="68"/>
      <c r="H16" s="68"/>
      <c r="I16" s="68"/>
      <c r="K16" s="48" t="s">
        <v>1</v>
      </c>
      <c r="L16" s="49"/>
      <c r="M16" s="54" t="str">
        <f>IFERROR(IF((_xlfn.FORECAST.ETS.SEASONALITY($D$10:$D$21,$B$10:$B$21,1,1)&gt;0),(_xlfn.FORECAST.ETS.SEASONALITY($D$10:$D$21,$B$10:$B$21,1,1)),0),"NA")</f>
        <v>NA</v>
      </c>
      <c r="N16" s="48"/>
      <c r="O16" s="53" t="s">
        <v>31</v>
      </c>
      <c r="P16" s="50"/>
      <c r="Q16" s="50"/>
      <c r="R16" s="50"/>
      <c r="S16" s="50"/>
      <c r="T16" s="50"/>
      <c r="U16" s="49"/>
    </row>
    <row r="17" spans="1:21" s="46" customFormat="1" x14ac:dyDescent="0.45">
      <c r="A17" s="64" t="str">
        <f t="shared" si="0"/>
        <v>Mth_Oct Final</v>
      </c>
      <c r="B17" s="59">
        <f t="shared" si="1"/>
        <v>43040</v>
      </c>
      <c r="C17" s="66" t="str">
        <f t="shared" si="2"/>
        <v>2017 Nov</v>
      </c>
      <c r="D17" s="67" t="str">
        <f>IFERROR(IF(AND(ISBLANK($F$3),ISBLANK($F$4)),"NA",_xll.DBRW($C$3,$C$6,$F$3,$C17,$C$4)),"NA")</f>
        <v>NA</v>
      </c>
      <c r="E17" s="67" t="e">
        <f ca="1">IF(OR($B$21="",C17="NA"),"NA",_xll.DBRW($C$2,IF(TEXT($B17,"MMM")="Apr",TEXT($B17-365,"YYYY"), TEXT($B17,"YYYY")),CONCATENATE("Mth_",TEXT($B17-2,"MMM"), " Final"),TEXT($C17,"YYYY MMM"),$C$6,$F$3,$C$4))</f>
        <v>#NAME?</v>
      </c>
      <c r="F17" s="67"/>
      <c r="G17" s="67"/>
      <c r="H17" s="67"/>
      <c r="I17" s="67"/>
      <c r="K17" s="48" t="s">
        <v>30</v>
      </c>
      <c r="L17" s="49"/>
      <c r="M17" s="55" t="str">
        <f ca="1">IFERROR(2/12*SUMPRODUCT(ABS($E$10:$E$20-$D$10:$D$20),1/((ABS($E$10:$E$20)+ABS($D$10:$D$20))/2)),"200%")</f>
        <v>200%</v>
      </c>
      <c r="N17" s="48"/>
      <c r="O17" s="53" t="s">
        <v>33</v>
      </c>
      <c r="P17" s="50"/>
      <c r="Q17" s="50"/>
      <c r="R17" s="50"/>
      <c r="S17" s="50"/>
      <c r="T17" s="50"/>
      <c r="U17" s="49"/>
    </row>
    <row r="18" spans="1:21" s="46" customFormat="1" x14ac:dyDescent="0.45">
      <c r="A18" s="64" t="str">
        <f t="shared" si="0"/>
        <v>Mth_Nov Final</v>
      </c>
      <c r="B18" s="59">
        <f t="shared" si="1"/>
        <v>43070</v>
      </c>
      <c r="C18" s="66" t="str">
        <f t="shared" si="2"/>
        <v>2017 Dec</v>
      </c>
      <c r="D18" s="67" t="str">
        <f>IFERROR(IF(AND(ISBLANK($F$3),ISBLANK($F$4)),"NA",_xll.DBRW($C$3,$C$6,$F$3,$C18,$C$4)),"NA")</f>
        <v>NA</v>
      </c>
      <c r="E18" s="67" t="e">
        <f ca="1">IF(OR($B$21="",C18="NA"),"NA",_xll.DBRW($C$2,IF(TEXT($B18,"MMM")="Apr",TEXT($B18-365,"YYYY"), TEXT($B18,"YYYY")),CONCATENATE("Mth_",TEXT($B18-2,"MMM"), " Final"),TEXT($C18,"YYYY MMM"),$C$6,$F$3,$C$4))</f>
        <v>#NAME?</v>
      </c>
      <c r="F18" s="67"/>
      <c r="G18" s="67"/>
      <c r="H18" s="67"/>
      <c r="I18" s="67"/>
      <c r="K18" s="48" t="s">
        <v>29</v>
      </c>
      <c r="L18" s="49"/>
      <c r="M18" s="55" t="str">
        <f>IFERROR(IF((_xlfn.FORECAST.ETS.STAT($D$10:$D$21,$B$10:$B$21,5,M16,1,1)&gt;0),(_xlfn.FORECAST.ETS.STAT($D$10:$D$21,$B$10:$B$21,5,M16,1,1)),0),"NA")</f>
        <v>NA</v>
      </c>
      <c r="N18" s="48"/>
      <c r="O18" s="50" t="s">
        <v>32</v>
      </c>
      <c r="P18" s="50"/>
      <c r="Q18" s="50"/>
      <c r="R18" s="50"/>
      <c r="S18" s="50"/>
      <c r="T18" s="50"/>
      <c r="U18" s="49"/>
    </row>
    <row r="19" spans="1:21" s="46" customFormat="1" x14ac:dyDescent="0.45">
      <c r="A19" s="64" t="str">
        <f t="shared" si="0"/>
        <v>Mth_Dec Final</v>
      </c>
      <c r="B19" s="59">
        <f t="shared" si="1"/>
        <v>43101</v>
      </c>
      <c r="C19" s="66" t="str">
        <f t="shared" si="2"/>
        <v>2018 Jan</v>
      </c>
      <c r="D19" s="67" t="str">
        <f>IFERROR(IF(AND(ISBLANK($F$3),ISBLANK($F$4)),"NA",_xll.DBRW($C$3,$C$6,$F$3,$C19,$C$4)),"NA")</f>
        <v>NA</v>
      </c>
      <c r="E19" s="67" t="e">
        <f ca="1">IF(OR($B$21="",C19="NA"),"NA",_xll.DBRW($C$2,IF(TEXT($B19,"MMM")="Apr",TEXT($B19-365,"YYYY"), TEXT($B19,"YYYY")),CONCATENATE("Mth_",TEXT($B19-2,"MMM"), " Final"),TEXT($C19,"YYYY MMM"),$C$6,$F$3,$C$4))</f>
        <v>#NAME?</v>
      </c>
      <c r="F19" s="67"/>
      <c r="G19" s="67"/>
      <c r="H19" s="67"/>
      <c r="I19" s="67"/>
    </row>
    <row r="20" spans="1:21" s="46" customFormat="1" ht="17" thickBot="1" x14ac:dyDescent="0.5">
      <c r="A20" s="64" t="str">
        <f t="shared" si="0"/>
        <v>Mth_Jan Final</v>
      </c>
      <c r="B20" s="58">
        <f t="shared" si="1"/>
        <v>43132</v>
      </c>
      <c r="C20" s="66" t="str">
        <f>IFERROR(IF(B20="", "NA",CONCATENATE(YEAR(B20)," ",TEXT(B20,"MMM"))),"NA")</f>
        <v>2018 Feb</v>
      </c>
      <c r="D20" s="67" t="str">
        <f>IFERROR(IF(AND(ISBLANK($F$3),ISBLANK($F$4)),"NA",_xll.DBRW($C$3,$C$6,$F$3,$C20,$C$4)),"NA")</f>
        <v>NA</v>
      </c>
      <c r="E20" s="67" t="e">
        <f ca="1">IF(OR($B$21="",C20="NA"),"NA",_xll.DBRW($C$2,IF(TEXT($B20,"MMM")="Apr",TEXT($B20-365,"YYYY"), TEXT($B20,"YYYY")),CONCATENATE("Mth_",TEXT($B20-2,"MMM"), " Final"),TEXT($C20,"YYYY MMM"),$C$6,$F$3,$C$4))</f>
        <v>#NAME?</v>
      </c>
      <c r="F20" s="67"/>
      <c r="G20" s="67"/>
      <c r="H20" s="67"/>
      <c r="I20" s="67"/>
    </row>
    <row r="21" spans="1:21" s="46" customFormat="1" ht="17.5" thickTop="1" thickBot="1" x14ac:dyDescent="0.5">
      <c r="A21" s="44" t="str">
        <f t="shared" si="0"/>
        <v>Mth_Feb Final</v>
      </c>
      <c r="B21" s="38">
        <v>43160</v>
      </c>
      <c r="C21" s="39" t="str">
        <f>IFERROR(IF(B21="", "NA",CONCATENATE(YEAR(B21)," ",TEXT(B21,"MMM"))),"NA")</f>
        <v>2018 Mar</v>
      </c>
      <c r="D21" s="40" t="str">
        <f>IFERROR(IF(AND(ISBLANK($F$3),ISBLANK($F$4)),"NA",_xll.DBRW($C$3,$C$6,$F$3,$C21,$C$4)),"NA")</f>
        <v>NA</v>
      </c>
      <c r="E21" s="40" t="e">
        <f ca="1">IF(OR($B$21="",C21="NA"),"NA",_xll.DBRW($C$2,IF(TEXT($B21,"MMM")="Apr",TEXT($B21-365,"YYYY"), TEXT($B21,"YYYY")),CONCATENATE("Mth_",TEXT($B21-2,"MMM"), " Final"),TEXT($C21,"YYYY MMM"),$C$6,$F$3,$C$4))</f>
        <v>#NAME?</v>
      </c>
      <c r="F21" s="40" t="str">
        <f>IF(OR($B$21="",D21="NA"),"NA",_xll.DBRW($C$2,IF(TEXT($B21,"MMM")="Apr",TEXT($B21-365,"YYYY"), TEXT($B21,"YYYY")),CONCATENATE("Mth_",TEXT($B21-2,"MMM"), " Final"),TEXT($C21,"YYYY MMM"),$C$6,$F$3,$C$4))</f>
        <v>NA</v>
      </c>
      <c r="G21" s="45" t="str">
        <f>IFERROR($D$21,"NA")</f>
        <v>NA</v>
      </c>
      <c r="H21" s="45" t="str">
        <f>IFERROR($D$21,"NA")</f>
        <v>NA</v>
      </c>
      <c r="I21" s="45" t="str">
        <f>IFERROR($D$21,"NA")</f>
        <v>NA</v>
      </c>
    </row>
    <row r="22" spans="1:21" s="46" customFormat="1" ht="35.25" customHeight="1" thickTop="1" x14ac:dyDescent="0.45">
      <c r="A22" s="69" t="str">
        <f t="shared" si="0"/>
        <v>Mth_Mar Final</v>
      </c>
      <c r="B22" s="59">
        <f t="shared" ref="B22:B33" si="3">IF($B$21&lt;&gt; "", EDATE(B21,1),"NA")</f>
        <v>43191</v>
      </c>
      <c r="C22" s="66" t="str">
        <f t="shared" si="2"/>
        <v>2018 Apr</v>
      </c>
      <c r="D22" s="67" t="str">
        <f>IFERROR(IF(AND(ISBLANK($F$3),ISBLANK($F$4)),"NA",_xll.DBRW($C$3,$C$6,$F$3,$C22,$C$4)),"NA")</f>
        <v>NA</v>
      </c>
      <c r="E22" s="67" t="e">
        <f ca="1">IF(OR($B$21="",C22="NA"),"NA",_xll.DBRW($C$2,IF(TEXT($B22,"MMM")="Apr",TEXT($B22-365,"YYYY"), TEXT($B22,"YYYY")),CONCATENATE("Mth_",TEXT($B22-2,"MMM"), " Final"),TEXT($C22,"YYYY MMM"),$C$6,$F$3,$C$4))</f>
        <v>#NAME?</v>
      </c>
      <c r="F22" s="67" t="str">
        <f>IFERROR(AVERAGE(Table1[[#This Row],[Predictive Demand Forecasts]],Table1[[#This Row],[Upper Confidence Bound (Future Demand)]]),"NA")</f>
        <v>NA</v>
      </c>
      <c r="G22" s="67" t="str">
        <f>IFERROR(IF((_xlfn.FORECAST.ETS(B22,$D$10:$D$21,$B$10:$B$21,$L$1,1)&gt;0),(_xlfn.FORECAST.ETS(B22,$D$10:$D$21,$B$10:$B$21,$M$16,1)),0),"NA")</f>
        <v>NA</v>
      </c>
      <c r="H22" s="67" t="str">
        <f t="shared" ref="H22:H33" si="4">IFERROR(IF((G22-_xlfn.FORECAST.ETS.CONFINT(B22,$D$10:$D$21,$B$10:$B$21,0.2,1,1)&gt;0),(G22-_xlfn.FORECAST.ETS.CONFINT(B22,$D$10:$D$21,$B$10:$B$21,0.2,1,1)),0),"NA")</f>
        <v>NA</v>
      </c>
      <c r="I22" s="67" t="str">
        <f t="shared" ref="I22:I33" si="5">IFERROR(IF((G22+_xlfn.FORECAST.ETS.CONFINT(B22,$D$10:$D$21,$B$10:$B$21,0.8,1,1)&gt;0),(G22+_xlfn.FORECAST.ETS.CONFINT(B22,$D$10:$D$21,$B$10:$B$21,0.8,1,1)),0),"NA")</f>
        <v>NA</v>
      </c>
      <c r="K22" s="46" t="s">
        <v>17</v>
      </c>
      <c r="L22" s="46" t="s">
        <v>18</v>
      </c>
      <c r="M22" s="46" t="s">
        <v>19</v>
      </c>
      <c r="N22" s="46" t="s">
        <v>23</v>
      </c>
      <c r="O22" s="46" t="s">
        <v>26</v>
      </c>
      <c r="P22" s="65" t="s">
        <v>27</v>
      </c>
      <c r="Q22" s="65" t="s">
        <v>28</v>
      </c>
    </row>
    <row r="23" spans="1:21" s="46" customFormat="1" x14ac:dyDescent="0.45">
      <c r="A23" s="64" t="str">
        <f t="shared" si="0"/>
        <v>Mth_Apr Final</v>
      </c>
      <c r="B23" s="59">
        <f t="shared" si="3"/>
        <v>43221</v>
      </c>
      <c r="C23" s="66" t="str">
        <f t="shared" si="2"/>
        <v>2018 May</v>
      </c>
      <c r="D23" s="67" t="str">
        <f>IFERROR(IF(AND(ISBLANK($F$3),ISBLANK($F$4)),"NA",_xll.DBRW($C$3,$C$6,$F$3,$C23,$C$4)),"NA")</f>
        <v>NA</v>
      </c>
      <c r="E23" s="67" t="e">
        <f ca="1">IF(OR($B$21="",C23="NA"),"NA",_xll.DBRW($C$2,IF(TEXT($B23,"MMM")="Apr",TEXT($B23-365,"YYYY"), TEXT($B23,"YYYY")),CONCATENATE("Mth_",TEXT($B23-2,"MMM"), " Final"),TEXT($C23,"YYYY MMM"),$C$6,$F$3,$C$4))</f>
        <v>#NAME?</v>
      </c>
      <c r="F23" s="67" t="str">
        <f>IFERROR(AVERAGE(Table1[[#This Row],[Predictive Demand Forecasts]],Table1[[#This Row],[Upper Confidence Bound (Future Demand)]]),"NA")</f>
        <v>NA</v>
      </c>
      <c r="G23" s="67" t="str">
        <f t="shared" ref="G23:G33" si="6">IFERROR(IF((_xlfn.FORECAST.ETS(B23,$D$10:$D$21,$B$10:$B$21,$M$16,1)&gt;0),(_xlfn.FORECAST.ETS(B23,$D$10:$D$21,$B$10:$B$21,$M$16,1)),0),"NA")</f>
        <v>NA</v>
      </c>
      <c r="H23" s="67" t="str">
        <f t="shared" si="4"/>
        <v>NA</v>
      </c>
      <c r="I23" s="67" t="str">
        <f t="shared" si="5"/>
        <v>NA</v>
      </c>
      <c r="K23" s="46">
        <v>1</v>
      </c>
      <c r="L23" s="60" t="str">
        <f t="shared" ref="L23:L34" si="7">C22</f>
        <v>2018 Apr</v>
      </c>
      <c r="M23" s="46" t="str">
        <f>IFERROR(IF(AND(ISBLANK($F$3),ISBLANK($F$4)),"NA",_xll.DBRW($C$3,$C$6,$F$3,$L23,$C$4)),"NA")</f>
        <v>NA</v>
      </c>
      <c r="N23" s="57" t="e">
        <f t="shared" ref="N23:N34" ca="1" si="8">E22</f>
        <v>#NAME?</v>
      </c>
      <c r="O23" s="57" t="str">
        <f t="shared" ref="O23:O34" si="9">F22</f>
        <v>NA</v>
      </c>
      <c r="P23" s="73" t="str">
        <f t="shared" ref="P23:P34" ca="1" si="10">IFERROR(IF(OR(B21="", B21="NA"),"NA",IF(AND(N23=0,M23=0),0,ABS(N23-M23)/N23)),"NA")</f>
        <v>NA</v>
      </c>
      <c r="Q23" s="73" t="str">
        <f t="shared" ref="Q23:Q34" ca="1" si="11">IFERROR(IF(OR(B21="", B21="NA"),"NA",IF(AND(O23=0,N23=0),0,ABS(O23-N23)/O23)),"NA")</f>
        <v>NA</v>
      </c>
    </row>
    <row r="24" spans="1:21" s="46" customFormat="1" x14ac:dyDescent="0.45">
      <c r="A24" s="64" t="str">
        <f t="shared" si="0"/>
        <v>Mth_May Final</v>
      </c>
      <c r="B24" s="59">
        <f t="shared" si="3"/>
        <v>43252</v>
      </c>
      <c r="C24" s="66" t="str">
        <f t="shared" si="2"/>
        <v>2018 Jun</v>
      </c>
      <c r="D24" s="67" t="str">
        <f>IFERROR(IF(AND(ISBLANK($F$3),ISBLANK($F$4)),"NA",_xll.DBRW($C$3,$C$6,$F$3,$C24,$C$4)),"NA")</f>
        <v>NA</v>
      </c>
      <c r="E24" s="67" t="e">
        <f ca="1">IF(OR($B$21="",C24="NA"),"NA",_xll.DBRW($C$2,IF(TEXT($B24,"MMM")="Apr",TEXT($B24-365,"YYYY"), TEXT($B24,"YYYY")),CONCATENATE("Mth_",TEXT($B24-2,"MMM"), " Final"),TEXT($C24,"YYYY MMM"),$C$6,$F$3,$C$4))</f>
        <v>#NAME?</v>
      </c>
      <c r="F24" s="67" t="str">
        <f>IFERROR(AVERAGE(Table1[[#This Row],[Predictive Demand Forecasts]],Table1[[#This Row],[Upper Confidence Bound (Future Demand)]]),"NA")</f>
        <v>NA</v>
      </c>
      <c r="G24" s="67" t="str">
        <f t="shared" si="6"/>
        <v>NA</v>
      </c>
      <c r="H24" s="67" t="str">
        <f t="shared" si="4"/>
        <v>NA</v>
      </c>
      <c r="I24" s="67" t="str">
        <f t="shared" si="5"/>
        <v>NA</v>
      </c>
      <c r="K24" s="46">
        <v>2</v>
      </c>
      <c r="L24" s="61" t="str">
        <f t="shared" si="7"/>
        <v>2018 May</v>
      </c>
      <c r="M24" s="46" t="str">
        <f>IFERROR(IF(AND(ISBLANK($F$3),ISBLANK($F$4)),"NA",_xll.DBRW($C$3,$C$6,$F$3,$L24,$C$4)),"NA")</f>
        <v>NA</v>
      </c>
      <c r="N24" s="57" t="e">
        <f t="shared" ca="1" si="8"/>
        <v>#NAME?</v>
      </c>
      <c r="O24" s="57" t="str">
        <f t="shared" si="9"/>
        <v>NA</v>
      </c>
      <c r="P24" s="73" t="str">
        <f t="shared" ca="1" si="10"/>
        <v>NA</v>
      </c>
      <c r="Q24" s="73" t="str">
        <f t="shared" ca="1" si="11"/>
        <v>NA</v>
      </c>
    </row>
    <row r="25" spans="1:21" s="46" customFormat="1" x14ac:dyDescent="0.45">
      <c r="A25" s="64" t="str">
        <f t="shared" si="0"/>
        <v>Mth_Jun Final</v>
      </c>
      <c r="B25" s="59">
        <f t="shared" si="3"/>
        <v>43282</v>
      </c>
      <c r="C25" s="66" t="str">
        <f t="shared" si="2"/>
        <v>2018 Jul</v>
      </c>
      <c r="D25" s="67" t="str">
        <f>IFERROR(IF(AND(ISBLANK($F$3),ISBLANK($F$4)),"NA",_xll.DBRW($C$3,$C$6,$F$3,$C25,$C$4)),"NA")</f>
        <v>NA</v>
      </c>
      <c r="E25" s="67" t="e">
        <f ca="1">IF(OR($B$21="",C25="NA"),"NA",_xll.DBRW($C$2,IF(TEXT($B25,"MMM")="Apr",TEXT($B25-365,"YYYY"), TEXT($B25,"YYYY")),CONCATENATE("Mth_",TEXT($B25-2,"MMM"), " Final"),TEXT($C25,"YYYY MMM"),$C$6,$F$3,$C$4))</f>
        <v>#NAME?</v>
      </c>
      <c r="F25" s="67" t="str">
        <f>IFERROR(AVERAGE(Table1[[#This Row],[Predictive Demand Forecasts]],Table1[[#This Row],[Upper Confidence Bound (Future Demand)]]),"NA")</f>
        <v>NA</v>
      </c>
      <c r="G25" s="67" t="str">
        <f t="shared" si="6"/>
        <v>NA</v>
      </c>
      <c r="H25" s="67" t="str">
        <f t="shared" si="4"/>
        <v>NA</v>
      </c>
      <c r="I25" s="67" t="str">
        <f t="shared" si="5"/>
        <v>NA</v>
      </c>
      <c r="K25" s="46">
        <v>3</v>
      </c>
      <c r="L25" s="60" t="str">
        <f t="shared" si="7"/>
        <v>2018 Jun</v>
      </c>
      <c r="M25" s="46" t="str">
        <f>IFERROR(IF(AND(ISBLANK($F$3),ISBLANK($F$4)),"NA",_xll.DBRW($C$3,$C$6,$F$3,$L25,$C$4)),"NA")</f>
        <v>NA</v>
      </c>
      <c r="N25" s="57" t="e">
        <f t="shared" ca="1" si="8"/>
        <v>#NAME?</v>
      </c>
      <c r="O25" s="57" t="str">
        <f t="shared" si="9"/>
        <v>NA</v>
      </c>
      <c r="P25" s="73" t="str">
        <f t="shared" ca="1" si="10"/>
        <v>NA</v>
      </c>
      <c r="Q25" s="73" t="str">
        <f t="shared" ca="1" si="11"/>
        <v>NA</v>
      </c>
    </row>
    <row r="26" spans="1:21" s="46" customFormat="1" x14ac:dyDescent="0.45">
      <c r="A26" s="64" t="str">
        <f t="shared" si="0"/>
        <v>Mth_Jul Final</v>
      </c>
      <c r="B26" s="59">
        <f t="shared" si="3"/>
        <v>43313</v>
      </c>
      <c r="C26" s="66" t="str">
        <f t="shared" si="2"/>
        <v>2018 Aug</v>
      </c>
      <c r="D26" s="67" t="str">
        <f>IFERROR(IF(AND(ISBLANK($F$3),ISBLANK($F$4)),"NA",_xll.DBRW($C$3,$C$6,$F$3,$C26,$C$4)),"NA")</f>
        <v>NA</v>
      </c>
      <c r="E26" s="67" t="e">
        <f ca="1">IF(OR($B$21="",C26="NA"),"NA",_xll.DBRW($C$2,IF(TEXT($B26,"MMM")="Apr",TEXT($B26-365,"YYYY"), TEXT($B26,"YYYY")),CONCATENATE("Mth_",TEXT($B26-2,"MMM"), " Final"),TEXT($C26,"YYYY MMM"),$C$6,$F$3,$C$4))</f>
        <v>#NAME?</v>
      </c>
      <c r="F26" s="67" t="str">
        <f>IFERROR(AVERAGE(Table1[[#This Row],[Predictive Demand Forecasts]],Table1[[#This Row],[Upper Confidence Bound (Future Demand)]]),"NA")</f>
        <v>NA</v>
      </c>
      <c r="G26" s="67" t="str">
        <f t="shared" si="6"/>
        <v>NA</v>
      </c>
      <c r="H26" s="67" t="str">
        <f t="shared" si="4"/>
        <v>NA</v>
      </c>
      <c r="I26" s="67" t="str">
        <f t="shared" si="5"/>
        <v>NA</v>
      </c>
      <c r="K26" s="46">
        <v>4</v>
      </c>
      <c r="L26" s="60" t="str">
        <f t="shared" si="7"/>
        <v>2018 Jul</v>
      </c>
      <c r="M26" s="46" t="str">
        <f>IFERROR(IF(AND(ISBLANK($F$3),ISBLANK($F$4)),"NA",_xll.DBRW($C$3,$C$6,$F$3,$L26,$C$4)),"NA")</f>
        <v>NA</v>
      </c>
      <c r="N26" s="57" t="e">
        <f t="shared" ca="1" si="8"/>
        <v>#NAME?</v>
      </c>
      <c r="O26" s="57" t="str">
        <f t="shared" si="9"/>
        <v>NA</v>
      </c>
      <c r="P26" s="73" t="str">
        <f t="shared" ca="1" si="10"/>
        <v>NA</v>
      </c>
      <c r="Q26" s="73" t="str">
        <f t="shared" ca="1" si="11"/>
        <v>NA</v>
      </c>
    </row>
    <row r="27" spans="1:21" s="46" customFormat="1" x14ac:dyDescent="0.45">
      <c r="A27" s="64" t="str">
        <f t="shared" si="0"/>
        <v>Mth_Aug Final</v>
      </c>
      <c r="B27" s="59">
        <f t="shared" si="3"/>
        <v>43344</v>
      </c>
      <c r="C27" s="66" t="str">
        <f t="shared" si="2"/>
        <v>2018 Sep</v>
      </c>
      <c r="D27" s="67" t="str">
        <f>IFERROR(IF(AND(ISBLANK($F$3),ISBLANK($F$4)),"NA",_xll.DBRW($C$3,$C$6,$F$3,$C27,$C$4)),"NA")</f>
        <v>NA</v>
      </c>
      <c r="E27" s="67" t="e">
        <f ca="1">IF(OR($B$21="",C27="NA"),"NA",_xll.DBRW($C$2,IF(TEXT($B27,"MMM")="Apr",TEXT($B27-365,"YYYY"), TEXT($B27,"YYYY")),CONCATENATE("Mth_",TEXT($B27-2,"MMM"), " Final"),TEXT($C27,"YYYY MMM"),$C$6,$F$3,$C$4))</f>
        <v>#NAME?</v>
      </c>
      <c r="F27" s="67" t="str">
        <f>IFERROR(AVERAGE(Table1[[#This Row],[Predictive Demand Forecasts]],Table1[[#This Row],[Upper Confidence Bound (Future Demand)]]),"NA")</f>
        <v>NA</v>
      </c>
      <c r="G27" s="67" t="str">
        <f t="shared" si="6"/>
        <v>NA</v>
      </c>
      <c r="H27" s="67" t="str">
        <f t="shared" si="4"/>
        <v>NA</v>
      </c>
      <c r="I27" s="67" t="str">
        <f t="shared" si="5"/>
        <v>NA</v>
      </c>
      <c r="K27" s="46">
        <v>5</v>
      </c>
      <c r="L27" s="60" t="str">
        <f t="shared" si="7"/>
        <v>2018 Aug</v>
      </c>
      <c r="M27" s="46" t="str">
        <f>IFERROR(IF(AND(ISBLANK($F$3),ISBLANK($F$4)),"NA",_xll.DBRW($C$3,$C$6,$F$3,$L27,$C$4)),"NA")</f>
        <v>NA</v>
      </c>
      <c r="N27" s="57" t="e">
        <f t="shared" ca="1" si="8"/>
        <v>#NAME?</v>
      </c>
      <c r="O27" s="57" t="str">
        <f t="shared" si="9"/>
        <v>NA</v>
      </c>
      <c r="P27" s="73" t="str">
        <f t="shared" ca="1" si="10"/>
        <v>NA</v>
      </c>
      <c r="Q27" s="73" t="str">
        <f t="shared" ca="1" si="11"/>
        <v>NA</v>
      </c>
    </row>
    <row r="28" spans="1:21" s="46" customFormat="1" x14ac:dyDescent="0.45">
      <c r="A28" s="64" t="str">
        <f t="shared" si="0"/>
        <v>Mth_Sep Final</v>
      </c>
      <c r="B28" s="59">
        <f t="shared" si="3"/>
        <v>43374</v>
      </c>
      <c r="C28" s="66" t="str">
        <f t="shared" si="2"/>
        <v>2018 Oct</v>
      </c>
      <c r="D28" s="67" t="str">
        <f>IFERROR(IF(AND(ISBLANK($F$3),ISBLANK($F$4)),"NA",_xll.DBRW($C$3,$C$6,$F$3,$C28,$C$4)),"NA")</f>
        <v>NA</v>
      </c>
      <c r="E28" s="67" t="e">
        <f ca="1">IF(OR($B$21="",C28="NA"),"NA",_xll.DBRW($C$2,IF(TEXT($B28,"MMM")="Apr",TEXT($B28-365,"YYYY"), TEXT($B28,"YYYY")),CONCATENATE("Mth_",TEXT($B28-2,"MMM"), " Final"),TEXT($C28,"YYYY MMM"),$C$6,$F$3,$C$4))</f>
        <v>#NAME?</v>
      </c>
      <c r="F28" s="67" t="str">
        <f>IFERROR(AVERAGE(Table1[[#This Row],[Predictive Demand Forecasts]],Table1[[#This Row],[Upper Confidence Bound (Future Demand)]]),"NA")</f>
        <v>NA</v>
      </c>
      <c r="G28" s="67" t="str">
        <f t="shared" si="6"/>
        <v>NA</v>
      </c>
      <c r="H28" s="67" t="str">
        <f t="shared" si="4"/>
        <v>NA</v>
      </c>
      <c r="I28" s="67" t="str">
        <f t="shared" si="5"/>
        <v>NA</v>
      </c>
      <c r="K28" s="46">
        <v>6</v>
      </c>
      <c r="L28" s="60" t="str">
        <f t="shared" si="7"/>
        <v>2018 Sep</v>
      </c>
      <c r="M28" s="46" t="str">
        <f>IFERROR(IF(AND(ISBLANK($F$3),ISBLANK($F$4)),"NA",_xll.DBRW($C$3,$C$6,$F$3,$L28,$C$4)),"NA")</f>
        <v>NA</v>
      </c>
      <c r="N28" s="57" t="e">
        <f t="shared" ca="1" si="8"/>
        <v>#NAME?</v>
      </c>
      <c r="O28" s="57" t="str">
        <f t="shared" si="9"/>
        <v>NA</v>
      </c>
      <c r="P28" s="73" t="str">
        <f t="shared" ca="1" si="10"/>
        <v>NA</v>
      </c>
      <c r="Q28" s="73" t="str">
        <f t="shared" ca="1" si="11"/>
        <v>NA</v>
      </c>
    </row>
    <row r="29" spans="1:21" s="46" customFormat="1" x14ac:dyDescent="0.45">
      <c r="A29" s="64" t="str">
        <f t="shared" si="0"/>
        <v>Mth_Oct Final</v>
      </c>
      <c r="B29" s="59">
        <f t="shared" si="3"/>
        <v>43405</v>
      </c>
      <c r="C29" s="66" t="str">
        <f t="shared" si="2"/>
        <v>2018 Nov</v>
      </c>
      <c r="D29" s="67" t="str">
        <f>IFERROR(IF(AND(ISBLANK($F$3),ISBLANK($F$4)),"NA",_xll.DBRW($C$3,$C$6,$F$3,$C29,$C$4)),"NA")</f>
        <v>NA</v>
      </c>
      <c r="E29" s="67" t="e">
        <f ca="1">IF(OR($B$21="",C29="NA"),"NA",_xll.DBRW($C$2,IF(TEXT($B29,"MMM")="Apr",TEXT($B29-365,"YYYY"), TEXT($B29,"YYYY")),CONCATENATE("Mth_",TEXT($B29-2,"MMM"), " Final"),TEXT($C29,"YYYY MMM"),$C$6,$F$3,$C$4))</f>
        <v>#NAME?</v>
      </c>
      <c r="F29" s="67" t="str">
        <f>IFERROR(AVERAGE(Table1[[#This Row],[Predictive Demand Forecasts]],Table1[[#This Row],[Upper Confidence Bound (Future Demand)]]),"NA")</f>
        <v>NA</v>
      </c>
      <c r="G29" s="67" t="str">
        <f t="shared" si="6"/>
        <v>NA</v>
      </c>
      <c r="H29" s="67" t="str">
        <f t="shared" si="4"/>
        <v>NA</v>
      </c>
      <c r="I29" s="67" t="str">
        <f t="shared" si="5"/>
        <v>NA</v>
      </c>
      <c r="K29" s="46">
        <v>7</v>
      </c>
      <c r="L29" s="60" t="str">
        <f t="shared" si="7"/>
        <v>2018 Oct</v>
      </c>
      <c r="M29" s="46" t="str">
        <f>IFERROR(IF(AND(ISBLANK($F$3),ISBLANK($F$4)),"NA",_xll.DBRW($C$3,$C$6,$F$3,$L29,$C$4)),"NA")</f>
        <v>NA</v>
      </c>
      <c r="N29" s="57" t="e">
        <f t="shared" ca="1" si="8"/>
        <v>#NAME?</v>
      </c>
      <c r="O29" s="57" t="str">
        <f t="shared" si="9"/>
        <v>NA</v>
      </c>
      <c r="P29" s="73" t="str">
        <f t="shared" ca="1" si="10"/>
        <v>NA</v>
      </c>
      <c r="Q29" s="73" t="str">
        <f t="shared" ca="1" si="11"/>
        <v>NA</v>
      </c>
    </row>
    <row r="30" spans="1:21" s="46" customFormat="1" x14ac:dyDescent="0.45">
      <c r="A30" s="64" t="str">
        <f t="shared" si="0"/>
        <v>Mth_Nov Final</v>
      </c>
      <c r="B30" s="59">
        <f t="shared" si="3"/>
        <v>43435</v>
      </c>
      <c r="C30" s="66" t="str">
        <f t="shared" si="2"/>
        <v>2018 Dec</v>
      </c>
      <c r="D30" s="67" t="str">
        <f>IFERROR(IF(AND(ISBLANK($F$3),ISBLANK($F$4)),"NA",_xll.DBRW($C$3,$C$6,$F$3,$C30,$C$4)),"NA")</f>
        <v>NA</v>
      </c>
      <c r="E30" s="67" t="e">
        <f ca="1">IF(OR($B$21="",C30="NA"),"NA",_xll.DBRW($C$2,IF(TEXT($B30,"MMM")="Apr",TEXT($B30-365,"YYYY"), TEXT($B30,"YYYY")),CONCATENATE("Mth_",TEXT($B30-2,"MMM"), " Final"),TEXT($C30,"YYYY MMM"),$C$6,$F$3,$C$4))</f>
        <v>#NAME?</v>
      </c>
      <c r="F30" s="67" t="str">
        <f>IFERROR(AVERAGE(Table1[[#This Row],[Predictive Demand Forecasts]],Table1[[#This Row],[Upper Confidence Bound (Future Demand)]]),"NA")</f>
        <v>NA</v>
      </c>
      <c r="G30" s="67" t="str">
        <f t="shared" si="6"/>
        <v>NA</v>
      </c>
      <c r="H30" s="67" t="str">
        <f t="shared" si="4"/>
        <v>NA</v>
      </c>
      <c r="I30" s="67" t="str">
        <f t="shared" si="5"/>
        <v>NA</v>
      </c>
      <c r="K30" s="46">
        <v>8</v>
      </c>
      <c r="L30" s="60" t="str">
        <f t="shared" si="7"/>
        <v>2018 Nov</v>
      </c>
      <c r="M30" s="46" t="str">
        <f>IFERROR(IF(AND(ISBLANK($F$3),ISBLANK($F$4)),"NA",_xll.DBRW($C$3,$C$6,$F$3,$L30,$C$4)),"NA")</f>
        <v>NA</v>
      </c>
      <c r="N30" s="57" t="e">
        <f t="shared" ca="1" si="8"/>
        <v>#NAME?</v>
      </c>
      <c r="O30" s="57" t="str">
        <f t="shared" si="9"/>
        <v>NA</v>
      </c>
      <c r="P30" s="73" t="str">
        <f t="shared" ca="1" si="10"/>
        <v>NA</v>
      </c>
      <c r="Q30" s="73" t="str">
        <f t="shared" ca="1" si="11"/>
        <v>NA</v>
      </c>
    </row>
    <row r="31" spans="1:21" s="46" customFormat="1" x14ac:dyDescent="0.45">
      <c r="A31" s="64" t="str">
        <f t="shared" si="0"/>
        <v>Mth_Dec Final</v>
      </c>
      <c r="B31" s="59">
        <f t="shared" si="3"/>
        <v>43466</v>
      </c>
      <c r="C31" s="66" t="str">
        <f t="shared" si="2"/>
        <v>2019 Jan</v>
      </c>
      <c r="D31" s="67" t="str">
        <f>IFERROR(IF(AND(ISBLANK($F$3),ISBLANK($F$4)),"NA",_xll.DBRW($C$3,$C$6,$F$3,$C31,$C$4)),"NA")</f>
        <v>NA</v>
      </c>
      <c r="E31" s="67" t="e">
        <f ca="1">IF(OR($B$21="",C31="NA"),"NA",_xll.DBRW($C$2,IF(TEXT($B31,"MMM")="Apr",TEXT($B31-365,"YYYY"), TEXT($B31,"YYYY")),CONCATENATE("Mth_",TEXT($B31-2,"MMM"), " Final"),TEXT($C31,"YYYY MMM"),$C$6,$F$3,$C$4))</f>
        <v>#NAME?</v>
      </c>
      <c r="F31" s="67" t="str">
        <f>IFERROR(AVERAGE(Table1[[#This Row],[Predictive Demand Forecasts]],Table1[[#This Row],[Upper Confidence Bound (Future Demand)]]),"NA")</f>
        <v>NA</v>
      </c>
      <c r="G31" s="67" t="str">
        <f t="shared" si="6"/>
        <v>NA</v>
      </c>
      <c r="H31" s="67" t="str">
        <f t="shared" si="4"/>
        <v>NA</v>
      </c>
      <c r="I31" s="67" t="str">
        <f t="shared" si="5"/>
        <v>NA</v>
      </c>
      <c r="K31" s="46">
        <v>9</v>
      </c>
      <c r="L31" s="60" t="str">
        <f t="shared" si="7"/>
        <v>2018 Dec</v>
      </c>
      <c r="M31" s="46" t="str">
        <f>IFERROR(IF(AND(ISBLANK($F$3),ISBLANK($F$4)),"NA",_xll.DBRW($C$3,$C$6,$F$3,$L31,$C$4)),"NA")</f>
        <v>NA</v>
      </c>
      <c r="N31" s="57" t="e">
        <f t="shared" ca="1" si="8"/>
        <v>#NAME?</v>
      </c>
      <c r="O31" s="57" t="str">
        <f t="shared" si="9"/>
        <v>NA</v>
      </c>
      <c r="P31" s="73" t="str">
        <f t="shared" ca="1" si="10"/>
        <v>NA</v>
      </c>
      <c r="Q31" s="73" t="str">
        <f t="shared" ca="1" si="11"/>
        <v>NA</v>
      </c>
    </row>
    <row r="32" spans="1:21" s="46" customFormat="1" x14ac:dyDescent="0.45">
      <c r="A32" s="64" t="str">
        <f t="shared" si="0"/>
        <v>Mth_Jan Final</v>
      </c>
      <c r="B32" s="59">
        <f t="shared" si="3"/>
        <v>43497</v>
      </c>
      <c r="C32" s="66" t="str">
        <f t="shared" si="2"/>
        <v>2019 Feb</v>
      </c>
      <c r="D32" s="67" t="str">
        <f>IFERROR(IF(AND(ISBLANK($F$3),ISBLANK($F$4)),"NA",_xll.DBRW($C$3,$C$6,$F$3,$C32,$C$4)),"NA")</f>
        <v>NA</v>
      </c>
      <c r="E32" s="67" t="e">
        <f ca="1">IF(OR($B$21="",C32="NA"),"NA",_xll.DBRW($C$2,IF(TEXT($B32,"MMM")="Apr",TEXT($B32-365,"YYYY"), TEXT($B32,"YYYY")),CONCATENATE("Mth_",TEXT($B32-2,"MMM"), " Final"),TEXT($C32,"YYYY MMM"),$C$6,$F$3,$C$4))</f>
        <v>#NAME?</v>
      </c>
      <c r="F32" s="67" t="str">
        <f>IFERROR(AVERAGE(Table1[[#This Row],[Predictive Demand Forecasts]],Table1[[#This Row],[Upper Confidence Bound (Future Demand)]]),"NA")</f>
        <v>NA</v>
      </c>
      <c r="G32" s="67" t="str">
        <f t="shared" si="6"/>
        <v>NA</v>
      </c>
      <c r="H32" s="67" t="str">
        <f t="shared" si="4"/>
        <v>NA</v>
      </c>
      <c r="I32" s="67" t="str">
        <f t="shared" si="5"/>
        <v>NA</v>
      </c>
      <c r="K32" s="46">
        <v>10</v>
      </c>
      <c r="L32" s="60" t="str">
        <f t="shared" si="7"/>
        <v>2019 Jan</v>
      </c>
      <c r="M32" s="46" t="str">
        <f>IFERROR(IF(AND(ISBLANK($F$3),ISBLANK($F$4)),"NA",_xll.DBRW($C$3,$C$6,$F$3,$L32,$C$4)),"NA")</f>
        <v>NA</v>
      </c>
      <c r="N32" s="57" t="e">
        <f t="shared" ca="1" si="8"/>
        <v>#NAME?</v>
      </c>
      <c r="O32" s="57" t="str">
        <f t="shared" si="9"/>
        <v>NA</v>
      </c>
      <c r="P32" s="73" t="str">
        <f t="shared" ca="1" si="10"/>
        <v>NA</v>
      </c>
      <c r="Q32" s="73" t="str">
        <f t="shared" ca="1" si="11"/>
        <v>NA</v>
      </c>
    </row>
    <row r="33" spans="1:17" s="46" customFormat="1" x14ac:dyDescent="0.45">
      <c r="A33" s="64" t="str">
        <f t="shared" si="0"/>
        <v>Mth_Feb Final</v>
      </c>
      <c r="B33" s="59">
        <f t="shared" si="3"/>
        <v>43525</v>
      </c>
      <c r="C33" s="66" t="str">
        <f t="shared" si="2"/>
        <v>2019 Mar</v>
      </c>
      <c r="D33" s="67" t="str">
        <f>IFERROR(IF(AND(ISBLANK($F$3),ISBLANK($F$4)),"NA",_xll.DBRW($C$3,$C$6,$F$3,$C33,$C$4)),"NA")</f>
        <v>NA</v>
      </c>
      <c r="E33" s="67" t="e">
        <f ca="1">IF(OR($B$21="",C33="NA"),"NA",_xll.DBRW($C$2,IF(TEXT($B33,"MMM")="Apr",TEXT($B33-365,"YYYY"), TEXT($B33,"YYYY")),CONCATENATE("Mth_",TEXT($B33-2,"MMM"), " Final"),TEXT($C33,"YYYY MMM"),$C$6,$F$3,$C$4))</f>
        <v>#NAME?</v>
      </c>
      <c r="F33" s="67" t="str">
        <f>IFERROR(AVERAGE(Table1[[#This Row],[Predictive Demand Forecasts]],Table1[[#This Row],[Upper Confidence Bound (Future Demand)]]),"NA")</f>
        <v>NA</v>
      </c>
      <c r="G33" s="67" t="str">
        <f t="shared" si="6"/>
        <v>NA</v>
      </c>
      <c r="H33" s="67" t="str">
        <f t="shared" si="4"/>
        <v>NA</v>
      </c>
      <c r="I33" s="67" t="str">
        <f t="shared" si="5"/>
        <v>NA</v>
      </c>
      <c r="K33" s="46">
        <v>11</v>
      </c>
      <c r="L33" s="60" t="str">
        <f t="shared" si="7"/>
        <v>2019 Feb</v>
      </c>
      <c r="M33" s="46" t="str">
        <f>IFERROR(IF(AND(ISBLANK($F$3),ISBLANK($F$4)),"NA",_xll.DBRW($C$3,$C$6,$F$3,$L33,$C$4)),"NA")</f>
        <v>NA</v>
      </c>
      <c r="N33" s="57" t="e">
        <f t="shared" ca="1" si="8"/>
        <v>#NAME?</v>
      </c>
      <c r="O33" s="57" t="str">
        <f t="shared" si="9"/>
        <v>NA</v>
      </c>
      <c r="P33" s="73" t="str">
        <f t="shared" ca="1" si="10"/>
        <v>NA</v>
      </c>
      <c r="Q33" s="73" t="str">
        <f t="shared" ca="1" si="11"/>
        <v>NA</v>
      </c>
    </row>
    <row r="34" spans="1:17" s="46" customFormat="1" x14ac:dyDescent="0.45">
      <c r="A34" s="47"/>
      <c r="K34" s="46">
        <v>12</v>
      </c>
      <c r="L34" s="60" t="str">
        <f t="shared" si="7"/>
        <v>2019 Mar</v>
      </c>
      <c r="M34" s="46" t="str">
        <f>IFERROR(IF(AND(ISBLANK($F$3),ISBLANK($F$4)),"NA",_xll.DBRW($C$3,$C$6,$F$3,$L34,$C$4)),"NA")</f>
        <v>NA</v>
      </c>
      <c r="N34" s="57" t="e">
        <f t="shared" ca="1" si="8"/>
        <v>#NAME?</v>
      </c>
      <c r="O34" s="57" t="str">
        <f t="shared" si="9"/>
        <v>NA</v>
      </c>
      <c r="P34" s="73" t="str">
        <f t="shared" ca="1" si="10"/>
        <v>NA</v>
      </c>
      <c r="Q34" s="73" t="str">
        <f t="shared" ca="1" si="11"/>
        <v>NA</v>
      </c>
    </row>
    <row r="35" spans="1:17" s="46" customFormat="1" x14ac:dyDescent="0.45">
      <c r="A35" s="47"/>
      <c r="H35" s="57"/>
    </row>
    <row r="36" spans="1:17" x14ac:dyDescent="0.45">
      <c r="A36" s="2"/>
      <c r="E36" s="12"/>
      <c r="F36" s="12"/>
      <c r="G36" s="11"/>
    </row>
    <row r="37" spans="1:17" x14ac:dyDescent="0.45">
      <c r="A37" s="2"/>
      <c r="B37" s="3"/>
      <c r="C37" s="3"/>
      <c r="E37" s="12"/>
      <c r="F37" s="12"/>
    </row>
    <row r="38" spans="1:17" x14ac:dyDescent="0.45">
      <c r="A38" s="2"/>
      <c r="B38" s="3"/>
      <c r="E38" s="12"/>
      <c r="F38" s="12"/>
    </row>
    <row r="39" spans="1:17" x14ac:dyDescent="0.45">
      <c r="B39" s="3"/>
      <c r="E39" s="12"/>
      <c r="F39" s="12"/>
    </row>
    <row r="40" spans="1:17" x14ac:dyDescent="0.45">
      <c r="B40" s="3"/>
      <c r="C40" s="3"/>
      <c r="E40" s="12"/>
      <c r="F40" s="12"/>
    </row>
    <row r="41" spans="1:17" x14ac:dyDescent="0.45">
      <c r="E41" s="12"/>
      <c r="F41" s="12"/>
    </row>
    <row r="42" spans="1:17" x14ac:dyDescent="0.45">
      <c r="E42" s="12"/>
      <c r="F42" s="12"/>
    </row>
    <row r="43" spans="1:17" x14ac:dyDescent="0.45">
      <c r="E43" s="12"/>
      <c r="F43" s="12"/>
    </row>
    <row r="44" spans="1:17" x14ac:dyDescent="0.45">
      <c r="E44" s="12"/>
      <c r="F44" s="12"/>
    </row>
    <row r="45" spans="1:17" x14ac:dyDescent="0.45">
      <c r="E45" s="12"/>
      <c r="F45" s="12"/>
    </row>
    <row r="46" spans="1:17" x14ac:dyDescent="0.45">
      <c r="E46" s="12"/>
      <c r="F46" s="12"/>
    </row>
    <row r="47" spans="1:17" x14ac:dyDescent="0.45">
      <c r="E47" s="12"/>
      <c r="F47" s="12"/>
    </row>
  </sheetData>
  <mergeCells count="1">
    <mergeCell ref="B2:B3"/>
  </mergeCells>
  <dataValidations count="1">
    <dataValidation type="list" allowBlank="1" showInputMessage="1" showErrorMessage="1" sqref="C6">
      <formula1>"ETH,EPC,EIN-IDR,EMSB,ESD,EVNL"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'SKU List'!$C$5:$C$17</xm:f>
          </x14:formula1>
          <xm:sqref>F4</xm:sqref>
        </x14:dataValidation>
        <x14:dataValidation type="list" allowBlank="1" showInputMessage="1" showErrorMessage="1">
          <x14:formula1>
            <xm:f>'SKU List'!$A$5:$A$17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"/>
  <sheetViews>
    <sheetView showGridLines="0" zoomScale="50" zoomScaleNormal="50" workbookViewId="0">
      <selection activeCell="C56" sqref="C56"/>
    </sheetView>
  </sheetViews>
  <sheetFormatPr defaultRowHeight="14.5" x14ac:dyDescent="0.35"/>
  <sheetData>
    <row r="1" spans="2:2" ht="46" x14ac:dyDescent="1.1499999999999999">
      <c r="B1" s="4" t="s">
        <v>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4"/>
  <sheetViews>
    <sheetView showGridLines="0" zoomScale="90" zoomScaleNormal="90" workbookViewId="0">
      <selection activeCell="B22" sqref="B22"/>
    </sheetView>
  </sheetViews>
  <sheetFormatPr defaultColWidth="10.26953125" defaultRowHeight="16.5" x14ac:dyDescent="0.45"/>
  <cols>
    <col min="1" max="1" width="42.7265625" style="31" customWidth="1"/>
    <col min="2" max="2" width="21.453125" style="31" customWidth="1"/>
    <col min="3" max="3" width="21.81640625" style="31" customWidth="1"/>
    <col min="4" max="4" width="17.7265625" style="31" bestFit="1" customWidth="1"/>
    <col min="5" max="7" width="9.26953125" style="31" bestFit="1" customWidth="1"/>
    <col min="8" max="8" width="9.453125" style="31" customWidth="1"/>
    <col min="9" max="10" width="9.26953125" style="31" bestFit="1" customWidth="1"/>
    <col min="11" max="11" width="9" style="31" bestFit="1" customWidth="1"/>
    <col min="12" max="14" width="9.26953125" style="31" bestFit="1" customWidth="1"/>
    <col min="15" max="15" width="16.81640625" style="31" bestFit="1" customWidth="1"/>
    <col min="16" max="16" width="15" style="31" customWidth="1"/>
    <col min="17" max="17" width="25.81640625" style="31" bestFit="1" customWidth="1"/>
    <col min="18" max="18" width="9.26953125" style="32" bestFit="1" customWidth="1"/>
    <col min="19" max="24" width="9.26953125" style="31" bestFit="1" customWidth="1"/>
    <col min="25" max="25" width="9" style="31" bestFit="1" customWidth="1"/>
    <col min="26" max="29" width="9.26953125" style="31" bestFit="1" customWidth="1"/>
    <col min="30" max="30" width="16.81640625" style="31" bestFit="1" customWidth="1"/>
    <col min="31" max="31" width="4.54296875" style="31" customWidth="1"/>
    <col min="32" max="32" width="30" style="31" bestFit="1" customWidth="1"/>
    <col min="33" max="33" width="11" style="31" bestFit="1" customWidth="1"/>
    <col min="34" max="34" width="13.26953125" style="31" customWidth="1"/>
    <col min="35" max="16384" width="10.26953125" style="31"/>
  </cols>
  <sheetData>
    <row r="1" spans="1:34" s="17" customFormat="1" ht="48.75" customHeight="1" x14ac:dyDescent="0.35">
      <c r="B1" s="36" t="s">
        <v>38</v>
      </c>
      <c r="Q1" s="18"/>
      <c r="AF1" s="18"/>
    </row>
    <row r="2" spans="1:34" s="17" customFormat="1" ht="18" customHeight="1" x14ac:dyDescent="0.35">
      <c r="B2" s="14"/>
      <c r="D2" s="19"/>
      <c r="AH2" s="20"/>
    </row>
    <row r="3" spans="1:34" s="17" customFormat="1" ht="26.25" customHeight="1" x14ac:dyDescent="0.45">
      <c r="B3" s="76" t="s">
        <v>3</v>
      </c>
      <c r="C3" s="77" t="s">
        <v>39</v>
      </c>
      <c r="D3" s="3"/>
      <c r="R3" s="18"/>
    </row>
    <row r="4" spans="1:34" s="17" customFormat="1" ht="13.5" customHeight="1" x14ac:dyDescent="0.35">
      <c r="B4" s="76"/>
      <c r="C4" s="77"/>
    </row>
    <row r="5" spans="1:34" s="17" customFormat="1" ht="15" customHeight="1" x14ac:dyDescent="0.45">
      <c r="B5" s="3"/>
    </row>
    <row r="6" spans="1:34" s="17" customFormat="1" ht="15" customHeight="1" x14ac:dyDescent="0.45">
      <c r="B6" s="3"/>
      <c r="C6" s="3"/>
      <c r="D6" s="3"/>
    </row>
    <row r="7" spans="1:34" s="17" customFormat="1" ht="15" customHeight="1" x14ac:dyDescent="0.45">
      <c r="B7" s="15" t="s">
        <v>9</v>
      </c>
      <c r="C7" s="16">
        <f>'Forecasting Table'!C6</f>
        <v>0</v>
      </c>
      <c r="D7" s="3"/>
    </row>
    <row r="8" spans="1:34" s="17" customFormat="1" ht="15" customHeight="1" x14ac:dyDescent="0.35"/>
    <row r="9" spans="1:34" s="17" customFormat="1" ht="9" customHeight="1" x14ac:dyDescent="0.45">
      <c r="D9" s="3"/>
    </row>
    <row r="10" spans="1:34" s="17" customFormat="1" ht="15" customHeight="1" x14ac:dyDescent="0.35"/>
    <row r="11" spans="1:34" s="17" customFormat="1" ht="15" customHeight="1" x14ac:dyDescent="0.35">
      <c r="A11" s="17" t="s">
        <v>41</v>
      </c>
      <c r="B11" s="18"/>
      <c r="Q11" s="18"/>
      <c r="R11" s="21"/>
      <c r="AD11" s="22"/>
    </row>
    <row r="12" spans="1:34" s="17" customFormat="1" ht="15" customHeight="1" x14ac:dyDescent="0.35"/>
    <row r="13" spans="1:34" s="17" customFormat="1" x14ac:dyDescent="0.35">
      <c r="B13" s="23" t="s">
        <v>37</v>
      </c>
      <c r="O13" s="13"/>
    </row>
    <row r="14" spans="1:34" s="17" customFormat="1" x14ac:dyDescent="0.35">
      <c r="B14" s="24" t="s">
        <v>17</v>
      </c>
      <c r="C14" s="25">
        <f>'Forecasting Table'!$B$22</f>
        <v>43191</v>
      </c>
      <c r="D14" s="25">
        <f>'Forecasting Table'!$B$23</f>
        <v>43221</v>
      </c>
      <c r="E14" s="25">
        <f>'Forecasting Table'!$B$24</f>
        <v>43252</v>
      </c>
      <c r="F14" s="25">
        <f>'Forecasting Table'!$B$25</f>
        <v>43282</v>
      </c>
      <c r="G14" s="25">
        <f>'Forecasting Table'!$B$26</f>
        <v>43313</v>
      </c>
      <c r="H14" s="25">
        <f>'Forecasting Table'!$B$27</f>
        <v>43344</v>
      </c>
      <c r="I14" s="25">
        <f>'Forecasting Table'!$B$28</f>
        <v>43374</v>
      </c>
      <c r="J14" s="25">
        <f>'Forecasting Table'!$B$29</f>
        <v>43405</v>
      </c>
      <c r="K14" s="25">
        <f>'Forecasting Table'!$B$30</f>
        <v>43435</v>
      </c>
      <c r="L14" s="25">
        <f>'Forecasting Table'!$B$31</f>
        <v>43466</v>
      </c>
      <c r="M14" s="25">
        <f>'Forecasting Table'!$B$32</f>
        <v>43497</v>
      </c>
      <c r="N14" s="25">
        <f>'Forecasting Table'!$B$33</f>
        <v>43525</v>
      </c>
      <c r="O14" s="26" t="s">
        <v>36</v>
      </c>
      <c r="Q14" s="22"/>
    </row>
    <row r="15" spans="1:34" s="17" customFormat="1" ht="15" customHeight="1" x14ac:dyDescent="0.35">
      <c r="B15" s="30" t="s">
        <v>40</v>
      </c>
      <c r="C15" s="27" t="str">
        <f>'Forecasting Table'!G22</f>
        <v>NA</v>
      </c>
      <c r="D15" s="27" t="str">
        <f>'Forecasting Table'!G23</f>
        <v>NA</v>
      </c>
      <c r="E15" s="27" t="str">
        <f>'Forecasting Table'!G24</f>
        <v>NA</v>
      </c>
      <c r="F15" s="27" t="str">
        <f>'Forecasting Table'!G25</f>
        <v>NA</v>
      </c>
      <c r="G15" s="27" t="str">
        <f>'Forecasting Table'!G26</f>
        <v>NA</v>
      </c>
      <c r="H15" s="27" t="str">
        <f>'Forecasting Table'!G27</f>
        <v>NA</v>
      </c>
      <c r="I15" s="27" t="str">
        <f>'Forecasting Table'!G28</f>
        <v>NA</v>
      </c>
      <c r="J15" s="27" t="str">
        <f>'Forecasting Table'!G29</f>
        <v>NA</v>
      </c>
      <c r="K15" s="27" t="str">
        <f>'Forecasting Table'!G30</f>
        <v>NA</v>
      </c>
      <c r="L15" s="27" t="str">
        <f>'Forecasting Table'!G31</f>
        <v>NA</v>
      </c>
      <c r="M15" s="27" t="str">
        <f>'Forecasting Table'!G32</f>
        <v>NA</v>
      </c>
      <c r="N15" s="27" t="str">
        <f>'Forecasting Table'!G33</f>
        <v>NA</v>
      </c>
      <c r="O15" s="28">
        <f>SUM(C15:N15)</f>
        <v>0</v>
      </c>
    </row>
    <row r="16" spans="1:34" s="17" customFormat="1" ht="15" customHeight="1" x14ac:dyDescent="0.35"/>
    <row r="17" spans="2:36" s="17" customFormat="1" ht="15" customHeight="1" x14ac:dyDescent="0.35">
      <c r="B17" s="18" t="s">
        <v>35</v>
      </c>
    </row>
    <row r="18" spans="2:36" s="17" customFormat="1" ht="15" customHeight="1" x14ac:dyDescent="0.35">
      <c r="B18" s="29" t="s">
        <v>17</v>
      </c>
      <c r="C18" s="25">
        <f>'Forecasting Table'!$B$22</f>
        <v>43191</v>
      </c>
      <c r="D18" s="25">
        <f>'Forecasting Table'!$B$23</f>
        <v>43221</v>
      </c>
      <c r="E18" s="25">
        <f>'Forecasting Table'!$B$24</f>
        <v>43252</v>
      </c>
      <c r="F18" s="25">
        <f>'Forecasting Table'!$B$25</f>
        <v>43282</v>
      </c>
      <c r="G18" s="25">
        <f>'Forecasting Table'!$B$26</f>
        <v>43313</v>
      </c>
      <c r="H18" s="25">
        <f>'Forecasting Table'!$B$27</f>
        <v>43344</v>
      </c>
      <c r="I18" s="25">
        <f>'Forecasting Table'!$B$28</f>
        <v>43374</v>
      </c>
      <c r="J18" s="25">
        <f>'Forecasting Table'!$B$29</f>
        <v>43405</v>
      </c>
      <c r="K18" s="25">
        <f>'Forecasting Table'!$B$30</f>
        <v>43435</v>
      </c>
      <c r="L18" s="25">
        <f>'Forecasting Table'!$B$31</f>
        <v>43466</v>
      </c>
      <c r="M18" s="25">
        <f>'Forecasting Table'!$B$32</f>
        <v>43497</v>
      </c>
      <c r="N18" s="25">
        <f>'Forecasting Table'!$B$33</f>
        <v>43525</v>
      </c>
      <c r="O18" s="26" t="s">
        <v>34</v>
      </c>
    </row>
    <row r="19" spans="2:36" s="17" customFormat="1" ht="9.65" customHeight="1" x14ac:dyDescent="0.35">
      <c r="B19" s="30" t="s">
        <v>34</v>
      </c>
      <c r="C19" s="74" t="str">
        <f ca="1">IFERROR((C15*_xll.DBRW($C$3,TEXT(C18,"YYYY"),"Actual",TEXT(C18,"MMM"),$C$7,'Forecasting Table'!$F$3,"Net ASP (SGD)")),"NA")</f>
        <v>NA</v>
      </c>
      <c r="D19" s="74" t="str">
        <f ca="1">IFERROR((D15*_xll.DBRW($C$3,TEXT(D18,"YYYY"),"Actual",TEXT(D18,"MMM"),$C$7,'Forecasting Table'!$F$3,"Net ASP (SGD)")),"NA")</f>
        <v>NA</v>
      </c>
      <c r="E19" s="74" t="str">
        <f ca="1">IFERROR((E15*_xll.DBRW($C$3,TEXT(E18,"YYYY"),"Actual",TEXT(E18,"MMM"),$C$7,'Forecasting Table'!$F$3,"Net ASP (SGD)")),"NA")</f>
        <v>NA</v>
      </c>
      <c r="F19" s="74" t="str">
        <f ca="1">IFERROR((F15*_xll.DBRW($C$3,TEXT(F18,"YYYY"),"Actual",TEXT(F18,"MMM"),$C$7,'Forecasting Table'!$F$3,"Net ASP (SGD)")),"NA")</f>
        <v>NA</v>
      </c>
      <c r="G19" s="74" t="str">
        <f ca="1">IFERROR((G15*_xll.DBRW($C$3,TEXT(G18,"YYYY"),"Actual",TEXT(G18,"MMM"),$C$7,'Forecasting Table'!$F$3,"Net ASP (SGD)")),"NA")</f>
        <v>NA</v>
      </c>
      <c r="H19" s="74" t="str">
        <f ca="1">IFERROR((H15*_xll.DBRW($C$3,TEXT(H18,"YYYY"),"Actual",TEXT(H18,"MMM"),$C$7,'Forecasting Table'!$F$3,"Net ASP (SGD)")),"NA")</f>
        <v>NA</v>
      </c>
      <c r="I19" s="74" t="str">
        <f ca="1">IFERROR((I15*_xll.DBRW($C$3,TEXT(I18,"YYYY"),"Actual",TEXT(I18,"MMM"),$C$7,'Forecasting Table'!$F$3,"Net ASP (SGD)")),"NA")</f>
        <v>NA</v>
      </c>
      <c r="J19" s="74" t="str">
        <f ca="1">IFERROR((J15*_xll.DBRW($C$3,TEXT(J18,"YYYY"),"Actual",TEXT(J18,"MMM"),$C$7,'Forecasting Table'!$F$3,"Net ASP (SGD)")),"NA")</f>
        <v>NA</v>
      </c>
      <c r="K19" s="74" t="str">
        <f ca="1">IFERROR((K15*_xll.DBRW($C$3,TEXT(K18,"YYYY"),"Actual",TEXT(K18,"MMM"),$C$7,'Forecasting Table'!$F$3,"Net ASP (SGD)")),"NA")</f>
        <v>NA</v>
      </c>
      <c r="L19" s="74" t="str">
        <f ca="1">IFERROR((L15*_xll.DBRW($C$3,TEXT(L18,"YYYY"),"Actual",TEXT(L18,"MMM"),$C$7,'Forecasting Table'!$F$3,"Net ASP (SGD)")),"NA")</f>
        <v>NA</v>
      </c>
      <c r="M19" s="74" t="str">
        <f ca="1">IFERROR((M15*_xll.DBRW($C$3,TEXT(M18,"YYYY"),"Actual",TEXT(M18,"MMM"),$C$7,'Forecasting Table'!$F$3,"Net ASP (SGD)")),"NA")</f>
        <v>NA</v>
      </c>
      <c r="N19" s="74" t="str">
        <f ca="1">IFERROR((N15*_xll.DBRW($C$3,TEXT(N18,"YYYY"),"Actual",TEXT(N18,"MMM"),$C$7,'Forecasting Table'!$F$3,"Net ASP (SGD)")),"NA")</f>
        <v>NA</v>
      </c>
      <c r="O19" s="37">
        <f ca="1">SUM(C19:N19)</f>
        <v>0</v>
      </c>
    </row>
    <row r="20" spans="2:36" s="17" customFormat="1" ht="15" customHeight="1" x14ac:dyDescent="0.35"/>
    <row r="21" spans="2:36" s="17" customFormat="1" ht="15" customHeight="1" x14ac:dyDescent="0.35"/>
    <row r="22" spans="2:36" s="17" customFormat="1" ht="15" customHeight="1" x14ac:dyDescent="0.35"/>
    <row r="23" spans="2:36" s="17" customFormat="1" ht="15" customHeight="1" x14ac:dyDescent="0.35"/>
    <row r="24" spans="2:36" s="17" customFormat="1" ht="15" customHeight="1" x14ac:dyDescent="0.45"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2:36" s="17" customFormat="1" ht="9.65" customHeight="1" x14ac:dyDescent="0.45">
      <c r="C25" s="31"/>
      <c r="O25" s="22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2:36" ht="15" customHeight="1" x14ac:dyDescent="0.45">
      <c r="R26" s="31"/>
    </row>
    <row r="27" spans="2:36" ht="15" customHeight="1" x14ac:dyDescent="0.45">
      <c r="C27" s="32"/>
      <c r="E27" s="32"/>
      <c r="F27" s="32"/>
      <c r="G27" s="32"/>
      <c r="R27" s="31"/>
    </row>
    <row r="28" spans="2:36" ht="15" customHeight="1" x14ac:dyDescent="0.45"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3"/>
      <c r="Q28" s="32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2"/>
      <c r="AF28" s="17"/>
      <c r="AG28" s="17"/>
      <c r="AH28" s="17"/>
    </row>
    <row r="29" spans="2:36" ht="15" customHeight="1" x14ac:dyDescent="0.45">
      <c r="B29" s="32"/>
      <c r="D29" s="32"/>
      <c r="H29" s="32"/>
      <c r="I29" s="32"/>
      <c r="J29" s="32"/>
      <c r="K29" s="32"/>
      <c r="L29" s="32"/>
      <c r="M29" s="32"/>
      <c r="N29" s="32"/>
      <c r="O29" s="32"/>
      <c r="P29" s="23"/>
      <c r="Q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19"/>
      <c r="AD29" s="32"/>
      <c r="AF29" s="32"/>
      <c r="AH29" s="17"/>
    </row>
    <row r="30" spans="2:36" s="17" customFormat="1" ht="9.65" customHeight="1" x14ac:dyDescent="0.45"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2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2:36" ht="15" customHeight="1" x14ac:dyDescent="0.45">
      <c r="AI31" s="17"/>
      <c r="AJ31" s="17"/>
    </row>
    <row r="32" spans="2:36" ht="15" customHeight="1" x14ac:dyDescent="0.45"/>
    <row r="33" spans="2:36" ht="15" customHeight="1" x14ac:dyDescent="0.45">
      <c r="C33" s="17"/>
      <c r="E33" s="17"/>
      <c r="F33" s="17"/>
      <c r="G33" s="17"/>
    </row>
    <row r="34" spans="2:36" ht="15" customHeight="1" x14ac:dyDescent="0.45">
      <c r="B34" s="17"/>
      <c r="D34" s="17"/>
      <c r="H34" s="17"/>
      <c r="I34" s="17"/>
      <c r="J34" s="17"/>
      <c r="K34" s="17"/>
      <c r="L34" s="17"/>
      <c r="M34" s="17"/>
      <c r="N34" s="17"/>
      <c r="O34" s="22"/>
      <c r="Q34" s="17"/>
      <c r="R34" s="35"/>
      <c r="AF34" s="17"/>
    </row>
    <row r="35" spans="2:36" s="17" customFormat="1" ht="9.65" customHeight="1" x14ac:dyDescent="0.45"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2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</row>
    <row r="36" spans="2:36" ht="15" customHeight="1" x14ac:dyDescent="0.45"/>
    <row r="37" spans="2:36" ht="15" customHeight="1" x14ac:dyDescent="0.45"/>
    <row r="38" spans="2:36" ht="15" customHeight="1" x14ac:dyDescent="0.45"/>
    <row r="39" spans="2:36" ht="15" customHeight="1" x14ac:dyDescent="0.45">
      <c r="C39" s="17"/>
      <c r="E39" s="17"/>
      <c r="F39" s="17"/>
      <c r="G39" s="17"/>
    </row>
    <row r="40" spans="2:36" s="17" customFormat="1" ht="15" customHeight="1" x14ac:dyDescent="0.45">
      <c r="C40" s="31"/>
      <c r="E40" s="31"/>
      <c r="F40" s="31"/>
      <c r="G40" s="31"/>
      <c r="O40" s="22"/>
      <c r="P40" s="31"/>
      <c r="R40" s="35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G40" s="31"/>
      <c r="AH40" s="31"/>
      <c r="AI40" s="31"/>
      <c r="AJ40" s="31"/>
    </row>
    <row r="41" spans="2:36" s="17" customFormat="1" ht="15" customHeight="1" x14ac:dyDescent="0.45"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2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</row>
    <row r="42" spans="2:36" ht="15" customHeight="1" x14ac:dyDescent="0.45"/>
    <row r="43" spans="2:36" ht="18" customHeight="1" x14ac:dyDescent="0.45"/>
    <row r="48" spans="2:36" ht="18" customHeight="1" x14ac:dyDescent="0.45"/>
    <row r="54" ht="18" customHeight="1" x14ac:dyDescent="0.45"/>
  </sheetData>
  <mergeCells count="2">
    <mergeCell ref="B3:B4"/>
    <mergeCell ref="C3:C4"/>
  </mergeCells>
  <printOptions horizontalCentered="1"/>
  <pageMargins left="0.4" right="0.4" top="0.3" bottom="0.5" header="0.3" footer="0.25"/>
  <pageSetup orientation="landscape" r:id="rId1"/>
  <headerFooter scaleWithDoc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0BBCA3C-2D28-4E22-AF21-C0A8DD5DA9B5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Q14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25"/>
  <sheetViews>
    <sheetView zoomScale="80" zoomScaleNormal="80" workbookViewId="0">
      <selection activeCell="C26" sqref="C26"/>
    </sheetView>
  </sheetViews>
  <sheetFormatPr defaultColWidth="9.1796875" defaultRowHeight="16.5" x14ac:dyDescent="0.45"/>
  <cols>
    <col min="1" max="1" width="59.54296875" style="3" bestFit="1" customWidth="1"/>
    <col min="2" max="3" width="46.54296875" style="3" bestFit="1" customWidth="1"/>
    <col min="4" max="9" width="9.1796875" style="3"/>
    <col min="10" max="10" width="12.7265625" style="3" bestFit="1" customWidth="1"/>
    <col min="11" max="16384" width="9.1796875" style="3"/>
  </cols>
  <sheetData>
    <row r="1" spans="1:11" x14ac:dyDescent="0.45">
      <c r="A1" s="5" t="s">
        <v>3</v>
      </c>
      <c r="B1" s="6" t="e">
        <f ca="1">_xll.VIEW("ESPTM1:ProductInfo_SCM","!","!")</f>
        <v>#NAME?</v>
      </c>
    </row>
    <row r="4" spans="1:11" x14ac:dyDescent="0.45">
      <c r="A4" s="5" t="s">
        <v>10</v>
      </c>
      <c r="B4" s="5" t="s">
        <v>11</v>
      </c>
      <c r="C4" s="5" t="s">
        <v>12</v>
      </c>
    </row>
    <row r="5" spans="1:11" x14ac:dyDescent="0.45">
      <c r="A5" s="46" t="s">
        <v>44</v>
      </c>
      <c r="B5" s="7" t="e">
        <f ca="1">_xll.DBRW($B$1,$A5,B$4)</f>
        <v>#NAME?</v>
      </c>
      <c r="C5" s="3" t="s">
        <v>57</v>
      </c>
    </row>
    <row r="6" spans="1:11" x14ac:dyDescent="0.45">
      <c r="A6" s="46" t="s">
        <v>45</v>
      </c>
      <c r="B6" s="7" t="e">
        <f ca="1">_xll.DBRW($B$1,$A6,B$4)</f>
        <v>#NAME?</v>
      </c>
      <c r="C6" s="3" t="s">
        <v>58</v>
      </c>
      <c r="J6" s="8"/>
      <c r="K6" s="9"/>
    </row>
    <row r="7" spans="1:11" x14ac:dyDescent="0.45">
      <c r="A7" s="46" t="s">
        <v>46</v>
      </c>
      <c r="B7" s="7" t="e">
        <f ca="1">_xll.DBRW($B$1,$A7,B$4)</f>
        <v>#NAME?</v>
      </c>
      <c r="C7" s="3" t="s">
        <v>59</v>
      </c>
      <c r="J7" s="8"/>
      <c r="K7" s="8"/>
    </row>
    <row r="8" spans="1:11" x14ac:dyDescent="0.45">
      <c r="A8" s="46" t="s">
        <v>47</v>
      </c>
      <c r="B8" s="7" t="e">
        <f ca="1">_xll.DBRW($B$1,$A8,B$4)</f>
        <v>#NAME?</v>
      </c>
      <c r="C8" s="3" t="s">
        <v>60</v>
      </c>
      <c r="J8" s="8"/>
      <c r="K8" s="8"/>
    </row>
    <row r="9" spans="1:11" x14ac:dyDescent="0.45">
      <c r="A9" s="46" t="s">
        <v>48</v>
      </c>
      <c r="B9" s="7" t="e">
        <f ca="1">_xll.DBRW($B$1,$A9,B$4)</f>
        <v>#NAME?</v>
      </c>
      <c r="C9" s="3" t="s">
        <v>61</v>
      </c>
      <c r="J9" s="8"/>
      <c r="K9" s="8"/>
    </row>
    <row r="10" spans="1:11" x14ac:dyDescent="0.45">
      <c r="A10" s="46" t="s">
        <v>49</v>
      </c>
      <c r="B10" s="7" t="e">
        <f ca="1">_xll.DBRW($B$1,$A10,B$4)</f>
        <v>#NAME?</v>
      </c>
      <c r="C10" s="3" t="s">
        <v>62</v>
      </c>
      <c r="J10" s="8"/>
      <c r="K10" s="8"/>
    </row>
    <row r="11" spans="1:11" x14ac:dyDescent="0.45">
      <c r="A11" s="46" t="s">
        <v>50</v>
      </c>
      <c r="B11" s="7" t="e">
        <f ca="1">_xll.DBRW($B$1,$A11,B$4)</f>
        <v>#NAME?</v>
      </c>
      <c r="C11" s="3" t="s">
        <v>63</v>
      </c>
      <c r="J11" s="8"/>
      <c r="K11" s="8"/>
    </row>
    <row r="12" spans="1:11" x14ac:dyDescent="0.45">
      <c r="A12" s="46" t="s">
        <v>51</v>
      </c>
      <c r="B12" s="7" t="e">
        <f ca="1">_xll.DBRW($B$1,$A12,B$4)</f>
        <v>#NAME?</v>
      </c>
      <c r="C12" s="3" t="s">
        <v>64</v>
      </c>
      <c r="J12" s="8"/>
      <c r="K12" s="8"/>
    </row>
    <row r="13" spans="1:11" x14ac:dyDescent="0.45">
      <c r="A13" s="46" t="s">
        <v>52</v>
      </c>
      <c r="B13" s="7" t="e">
        <f ca="1">_xll.DBRW($B$1,$A13,B$4)</f>
        <v>#NAME?</v>
      </c>
      <c r="C13" s="3" t="s">
        <v>65</v>
      </c>
      <c r="J13" s="8"/>
    </row>
    <row r="14" spans="1:11" x14ac:dyDescent="0.45">
      <c r="A14" s="46" t="s">
        <v>53</v>
      </c>
      <c r="B14" s="7" t="e">
        <f ca="1">_xll.DBRW($B$1,$A14,B$4)</f>
        <v>#NAME?</v>
      </c>
      <c r="C14" s="3" t="s">
        <v>66</v>
      </c>
    </row>
    <row r="15" spans="1:11" x14ac:dyDescent="0.45">
      <c r="A15" s="46" t="s">
        <v>54</v>
      </c>
      <c r="B15" s="7" t="e">
        <f ca="1">_xll.DBRW($B$1,$A15,B$4)</f>
        <v>#NAME?</v>
      </c>
      <c r="C15" s="3" t="s">
        <v>67</v>
      </c>
    </row>
    <row r="16" spans="1:11" x14ac:dyDescent="0.45">
      <c r="A16" s="46" t="s">
        <v>55</v>
      </c>
      <c r="B16" s="7" t="e">
        <f ca="1">_xll.DBRW($B$1,$A16,B$4)</f>
        <v>#NAME?</v>
      </c>
      <c r="C16" s="3" t="s">
        <v>68</v>
      </c>
    </row>
    <row r="17" spans="1:3" x14ac:dyDescent="0.45">
      <c r="A17" s="46" t="s">
        <v>56</v>
      </c>
      <c r="B17" s="7" t="e">
        <f ca="1">_xll.DBRW($B$1,$A17,B$4)</f>
        <v>#NAME?</v>
      </c>
      <c r="C17" s="3" t="s">
        <v>69</v>
      </c>
    </row>
    <row r="18" spans="1:3" x14ac:dyDescent="0.45">
      <c r="A18" s="46"/>
      <c r="B18" s="7"/>
    </row>
    <row r="19" spans="1:3" x14ac:dyDescent="0.45">
      <c r="A19" s="46"/>
      <c r="B19" s="7"/>
    </row>
    <row r="20" spans="1:3" x14ac:dyDescent="0.45">
      <c r="A20" s="46"/>
      <c r="B20" s="7"/>
    </row>
    <row r="21" spans="1:3" x14ac:dyDescent="0.45">
      <c r="A21" s="46"/>
      <c r="B21" s="7"/>
    </row>
    <row r="22" spans="1:3" x14ac:dyDescent="0.45">
      <c r="A22" s="46"/>
      <c r="B22" s="7"/>
    </row>
    <row r="23" spans="1:3" x14ac:dyDescent="0.45">
      <c r="A23" s="46"/>
      <c r="B23" s="7"/>
    </row>
    <row r="24" spans="1:3" x14ac:dyDescent="0.45">
      <c r="A24" s="46"/>
      <c r="B24" s="7"/>
    </row>
    <row r="25" spans="1:3" x14ac:dyDescent="0.45">
      <c r="A25" s="46"/>
      <c r="B25" s="7"/>
    </row>
    <row r="26" spans="1:3" x14ac:dyDescent="0.45">
      <c r="A26" s="46"/>
      <c r="B26" s="7"/>
    </row>
    <row r="27" spans="1:3" x14ac:dyDescent="0.45">
      <c r="A27" s="46"/>
      <c r="B27" s="7"/>
    </row>
    <row r="28" spans="1:3" x14ac:dyDescent="0.45">
      <c r="A28" s="46"/>
      <c r="B28" s="7"/>
    </row>
    <row r="29" spans="1:3" x14ac:dyDescent="0.45">
      <c r="A29" s="46"/>
      <c r="B29" s="7"/>
    </row>
    <row r="30" spans="1:3" x14ac:dyDescent="0.45">
      <c r="A30" s="46"/>
      <c r="B30" s="7"/>
    </row>
    <row r="31" spans="1:3" x14ac:dyDescent="0.45">
      <c r="A31" s="46"/>
      <c r="B31" s="7"/>
    </row>
    <row r="32" spans="1:3" x14ac:dyDescent="0.45">
      <c r="A32" s="46"/>
      <c r="B32" s="7"/>
    </row>
    <row r="33" spans="1:2" x14ac:dyDescent="0.45">
      <c r="A33" s="46"/>
      <c r="B33" s="7"/>
    </row>
    <row r="34" spans="1:2" x14ac:dyDescent="0.45">
      <c r="A34" s="46"/>
      <c r="B34" s="7"/>
    </row>
    <row r="35" spans="1:2" x14ac:dyDescent="0.45">
      <c r="A35" s="46"/>
      <c r="B35" s="7"/>
    </row>
    <row r="36" spans="1:2" x14ac:dyDescent="0.45">
      <c r="A36" s="46"/>
      <c r="B36" s="7"/>
    </row>
    <row r="37" spans="1:2" x14ac:dyDescent="0.45">
      <c r="A37" s="46"/>
      <c r="B37" s="7"/>
    </row>
    <row r="38" spans="1:2" x14ac:dyDescent="0.45">
      <c r="A38" s="46"/>
      <c r="B38" s="7"/>
    </row>
    <row r="39" spans="1:2" x14ac:dyDescent="0.45">
      <c r="A39" s="46"/>
      <c r="B39" s="7"/>
    </row>
    <row r="40" spans="1:2" x14ac:dyDescent="0.45">
      <c r="A40" s="46"/>
      <c r="B40" s="7"/>
    </row>
    <row r="41" spans="1:2" x14ac:dyDescent="0.45">
      <c r="A41" s="46"/>
      <c r="B41" s="7"/>
    </row>
    <row r="42" spans="1:2" x14ac:dyDescent="0.45">
      <c r="A42" s="46"/>
      <c r="B42" s="7"/>
    </row>
    <row r="43" spans="1:2" x14ac:dyDescent="0.45">
      <c r="A43" s="46"/>
      <c r="B43" s="7"/>
    </row>
    <row r="44" spans="1:2" x14ac:dyDescent="0.45">
      <c r="A44" s="46"/>
      <c r="B44" s="7"/>
    </row>
    <row r="45" spans="1:2" x14ac:dyDescent="0.45">
      <c r="A45" s="46"/>
      <c r="B45" s="7"/>
    </row>
    <row r="46" spans="1:2" x14ac:dyDescent="0.45">
      <c r="A46" s="46"/>
      <c r="B46" s="7"/>
    </row>
    <row r="47" spans="1:2" x14ac:dyDescent="0.45">
      <c r="A47" s="46"/>
      <c r="B47" s="7"/>
    </row>
    <row r="48" spans="1:2" x14ac:dyDescent="0.45">
      <c r="A48" s="46"/>
      <c r="B48" s="7"/>
    </row>
    <row r="49" spans="1:2" x14ac:dyDescent="0.45">
      <c r="A49" s="46"/>
      <c r="B49" s="7"/>
    </row>
    <row r="50" spans="1:2" x14ac:dyDescent="0.45">
      <c r="A50" s="46"/>
      <c r="B50" s="7"/>
    </row>
    <row r="51" spans="1:2" x14ac:dyDescent="0.45">
      <c r="A51" s="46"/>
      <c r="B51" s="7"/>
    </row>
    <row r="52" spans="1:2" x14ac:dyDescent="0.45">
      <c r="A52" s="46"/>
      <c r="B52" s="7"/>
    </row>
    <row r="53" spans="1:2" x14ac:dyDescent="0.45">
      <c r="A53" s="46"/>
      <c r="B53" s="7"/>
    </row>
    <row r="54" spans="1:2" x14ac:dyDescent="0.45">
      <c r="A54" s="46"/>
      <c r="B54" s="7"/>
    </row>
    <row r="55" spans="1:2" x14ac:dyDescent="0.45">
      <c r="A55" s="46"/>
      <c r="B55" s="7"/>
    </row>
    <row r="56" spans="1:2" x14ac:dyDescent="0.45">
      <c r="A56" s="46"/>
      <c r="B56" s="7"/>
    </row>
    <row r="57" spans="1:2" x14ac:dyDescent="0.45">
      <c r="A57" s="46"/>
      <c r="B57" s="7"/>
    </row>
    <row r="58" spans="1:2" x14ac:dyDescent="0.45">
      <c r="A58" s="46"/>
      <c r="B58" s="7"/>
    </row>
    <row r="59" spans="1:2" x14ac:dyDescent="0.45">
      <c r="A59" s="46"/>
      <c r="B59" s="7"/>
    </row>
    <row r="60" spans="1:2" x14ac:dyDescent="0.45">
      <c r="A60" s="46"/>
      <c r="B60" s="7"/>
    </row>
    <row r="61" spans="1:2" x14ac:dyDescent="0.45">
      <c r="A61" s="46"/>
      <c r="B61" s="7"/>
    </row>
    <row r="62" spans="1:2" x14ac:dyDescent="0.45">
      <c r="A62" s="46"/>
      <c r="B62" s="7"/>
    </row>
    <row r="63" spans="1:2" x14ac:dyDescent="0.45">
      <c r="A63" s="46"/>
      <c r="B63" s="7"/>
    </row>
    <row r="64" spans="1:2" x14ac:dyDescent="0.45">
      <c r="A64" s="46"/>
      <c r="B64" s="7"/>
    </row>
    <row r="65" spans="1:2" x14ac:dyDescent="0.45">
      <c r="A65" s="46"/>
      <c r="B65" s="7"/>
    </row>
    <row r="66" spans="1:2" x14ac:dyDescent="0.45">
      <c r="A66" s="46"/>
      <c r="B66" s="7"/>
    </row>
    <row r="67" spans="1:2" x14ac:dyDescent="0.45">
      <c r="A67" s="46"/>
      <c r="B67" s="7"/>
    </row>
    <row r="68" spans="1:2" x14ac:dyDescent="0.45">
      <c r="A68" s="46"/>
      <c r="B68" s="7"/>
    </row>
    <row r="69" spans="1:2" x14ac:dyDescent="0.45">
      <c r="A69" s="46"/>
      <c r="B69" s="62"/>
    </row>
    <row r="70" spans="1:2" x14ac:dyDescent="0.45">
      <c r="A70" s="46"/>
      <c r="B70" s="62"/>
    </row>
    <row r="71" spans="1:2" x14ac:dyDescent="0.45">
      <c r="A71" s="10"/>
    </row>
    <row r="72" spans="1:2" x14ac:dyDescent="0.45">
      <c r="A72" s="10"/>
    </row>
    <row r="73" spans="1:2" x14ac:dyDescent="0.45">
      <c r="A73" s="10"/>
    </row>
    <row r="74" spans="1:2" x14ac:dyDescent="0.45">
      <c r="A74" s="10"/>
    </row>
    <row r="75" spans="1:2" x14ac:dyDescent="0.45">
      <c r="A75" s="10"/>
    </row>
    <row r="76" spans="1:2" x14ac:dyDescent="0.45">
      <c r="A76" s="10"/>
    </row>
    <row r="77" spans="1:2" x14ac:dyDescent="0.45">
      <c r="A77" s="10"/>
    </row>
    <row r="78" spans="1:2" x14ac:dyDescent="0.45">
      <c r="A78" s="10"/>
    </row>
    <row r="79" spans="1:2" x14ac:dyDescent="0.45">
      <c r="A79" s="10"/>
    </row>
    <row r="80" spans="1:2" x14ac:dyDescent="0.45">
      <c r="A80" s="10"/>
    </row>
    <row r="81" spans="1:1" x14ac:dyDescent="0.45">
      <c r="A81" s="10"/>
    </row>
    <row r="82" spans="1:1" x14ac:dyDescent="0.45">
      <c r="A82" s="10"/>
    </row>
    <row r="83" spans="1:1" x14ac:dyDescent="0.45">
      <c r="A83" s="10"/>
    </row>
    <row r="84" spans="1:1" x14ac:dyDescent="0.45">
      <c r="A84" s="10"/>
    </row>
    <row r="85" spans="1:1" x14ac:dyDescent="0.45">
      <c r="A85" s="10"/>
    </row>
    <row r="86" spans="1:1" x14ac:dyDescent="0.45">
      <c r="A86" s="10"/>
    </row>
    <row r="87" spans="1:1" x14ac:dyDescent="0.45">
      <c r="A87" s="10"/>
    </row>
    <row r="88" spans="1:1" x14ac:dyDescent="0.45">
      <c r="A88" s="10"/>
    </row>
    <row r="89" spans="1:1" x14ac:dyDescent="0.45">
      <c r="A89" s="10"/>
    </row>
    <row r="90" spans="1:1" x14ac:dyDescent="0.45">
      <c r="A90" s="10"/>
    </row>
    <row r="91" spans="1:1" x14ac:dyDescent="0.45">
      <c r="A91" s="10"/>
    </row>
    <row r="92" spans="1:1" x14ac:dyDescent="0.45">
      <c r="A92" s="10"/>
    </row>
    <row r="93" spans="1:1" x14ac:dyDescent="0.45">
      <c r="A93" s="10"/>
    </row>
    <row r="94" spans="1:1" x14ac:dyDescent="0.45">
      <c r="A94" s="10"/>
    </row>
    <row r="95" spans="1:1" x14ac:dyDescent="0.45">
      <c r="A95" s="10"/>
    </row>
    <row r="96" spans="1:1" x14ac:dyDescent="0.45">
      <c r="A96" s="10"/>
    </row>
    <row r="97" spans="1:1" x14ac:dyDescent="0.45">
      <c r="A97" s="10"/>
    </row>
    <row r="98" spans="1:1" x14ac:dyDescent="0.45">
      <c r="A98" s="10"/>
    </row>
    <row r="99" spans="1:1" x14ac:dyDescent="0.45">
      <c r="A99" s="10"/>
    </row>
    <row r="100" spans="1:1" x14ac:dyDescent="0.45">
      <c r="A100" s="10"/>
    </row>
    <row r="101" spans="1:1" x14ac:dyDescent="0.45">
      <c r="A101" s="10"/>
    </row>
    <row r="102" spans="1:1" x14ac:dyDescent="0.45">
      <c r="A102" s="10"/>
    </row>
    <row r="103" spans="1:1" x14ac:dyDescent="0.45">
      <c r="A103" s="10"/>
    </row>
    <row r="104" spans="1:1" x14ac:dyDescent="0.45">
      <c r="A104" s="10"/>
    </row>
    <row r="105" spans="1:1" x14ac:dyDescent="0.45">
      <c r="A105" s="10"/>
    </row>
    <row r="106" spans="1:1" x14ac:dyDescent="0.45">
      <c r="A106" s="10"/>
    </row>
    <row r="107" spans="1:1" x14ac:dyDescent="0.45">
      <c r="A107" s="10"/>
    </row>
    <row r="108" spans="1:1" x14ac:dyDescent="0.45">
      <c r="A108" s="10"/>
    </row>
    <row r="109" spans="1:1" x14ac:dyDescent="0.45">
      <c r="A109" s="10"/>
    </row>
    <row r="110" spans="1:1" x14ac:dyDescent="0.45">
      <c r="A110" s="10"/>
    </row>
    <row r="111" spans="1:1" x14ac:dyDescent="0.45">
      <c r="A111" s="10"/>
    </row>
    <row r="112" spans="1:1" x14ac:dyDescent="0.45">
      <c r="A112" s="10"/>
    </row>
    <row r="113" spans="1:1" x14ac:dyDescent="0.45">
      <c r="A113" s="10"/>
    </row>
    <row r="114" spans="1:1" x14ac:dyDescent="0.45">
      <c r="A114" s="10"/>
    </row>
    <row r="115" spans="1:1" x14ac:dyDescent="0.45">
      <c r="A115" s="10"/>
    </row>
    <row r="116" spans="1:1" x14ac:dyDescent="0.45">
      <c r="A116" s="10"/>
    </row>
    <row r="117" spans="1:1" x14ac:dyDescent="0.45">
      <c r="A117" s="10"/>
    </row>
    <row r="118" spans="1:1" x14ac:dyDescent="0.45">
      <c r="A118" s="10"/>
    </row>
    <row r="119" spans="1:1" x14ac:dyDescent="0.45">
      <c r="A119" s="10"/>
    </row>
    <row r="120" spans="1:1" x14ac:dyDescent="0.45">
      <c r="A120" s="10"/>
    </row>
    <row r="121" spans="1:1" x14ac:dyDescent="0.45">
      <c r="A121" s="10"/>
    </row>
    <row r="122" spans="1:1" x14ac:dyDescent="0.45">
      <c r="A122" s="10"/>
    </row>
    <row r="123" spans="1:1" x14ac:dyDescent="0.45">
      <c r="A123" s="10"/>
    </row>
    <row r="124" spans="1:1" x14ac:dyDescent="0.45">
      <c r="A124" s="10"/>
    </row>
    <row r="125" spans="1:1" x14ac:dyDescent="0.45">
      <c r="A125" s="10"/>
    </row>
  </sheetData>
  <sortState ref="A5:C70">
    <sortCondition ref="A4"/>
  </sortState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Forecasting Table</vt:lpstr>
      <vt:lpstr>Forecasting Chart</vt:lpstr>
      <vt:lpstr>Sales Forecast</vt:lpstr>
      <vt:lpstr>SKU List</vt:lpstr>
      <vt:lpstr>'Sales Forecast'!Print_Area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ong zhen yang</cp:lastModifiedBy>
  <dcterms:created xsi:type="dcterms:W3CDTF">2016-11-22T22:45:45Z</dcterms:created>
  <dcterms:modified xsi:type="dcterms:W3CDTF">2023-11-14T05:15:15Z</dcterms:modified>
</cp:coreProperties>
</file>
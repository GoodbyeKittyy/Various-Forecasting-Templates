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PZYONG\Desktop\"/>
    </mc:Choice>
  </mc:AlternateContent>
  <bookViews>
    <workbookView xWindow="0" yWindow="0" windowWidth="28800" windowHeight="12240"/>
  </bookViews>
  <sheets>
    <sheet name="Step 1 - Trending" sheetId="1" r:id="rId1"/>
    <sheet name="Step 2 - Model Validation" sheetId="2" r:id="rId2"/>
    <sheet name="Step 3 - Final Forecasts" sheetId="3" r:id="rId3"/>
    <sheet name="SKU List" sheetId="4" r:id="rId4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2" i="3" l="1"/>
  <c r="H71" i="3"/>
  <c r="H70" i="3"/>
  <c r="H69" i="3"/>
  <c r="H68" i="3"/>
  <c r="H67" i="3"/>
  <c r="H66" i="3"/>
  <c r="H65" i="3"/>
  <c r="H64" i="3"/>
  <c r="H63" i="3"/>
  <c r="H62" i="3"/>
  <c r="H61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" i="2"/>
  <c r="L55" i="3"/>
  <c r="L54" i="3"/>
  <c r="B1" i="4"/>
  <c r="B22" i="4"/>
  <c r="I62" i="3"/>
  <c r="I63" i="3"/>
  <c r="I64" i="3"/>
  <c r="I65" i="3"/>
  <c r="I66" i="3"/>
  <c r="I67" i="3"/>
  <c r="I68" i="3"/>
  <c r="I69" i="3"/>
  <c r="I70" i="3"/>
  <c r="I71" i="3"/>
  <c r="I72" i="3"/>
  <c r="I61" i="3"/>
  <c r="C10" i="1"/>
  <c r="C13" i="1"/>
  <c r="C11" i="1"/>
  <c r="C12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15" i="2"/>
  <c r="B9" i="2"/>
  <c r="B10" i="2"/>
  <c r="B11" i="2"/>
  <c r="B12" i="2"/>
  <c r="B13" i="2"/>
  <c r="B14" i="2"/>
  <c r="B16" i="2"/>
  <c r="B17" i="2"/>
  <c r="B18" i="2"/>
  <c r="B19" i="2"/>
  <c r="B20" i="2"/>
  <c r="D14" i="2"/>
  <c r="B21" i="2"/>
  <c r="D15" i="2"/>
  <c r="E15" i="2"/>
  <c r="F15" i="2"/>
  <c r="B49" i="2"/>
  <c r="B27" i="2"/>
  <c r="B22" i="2"/>
  <c r="B23" i="2"/>
  <c r="B24" i="2"/>
  <c r="B25" i="2"/>
  <c r="B26" i="2"/>
  <c r="B28" i="2"/>
  <c r="B29" i="2"/>
  <c r="B30" i="2"/>
  <c r="B31" i="2"/>
  <c r="B32" i="2"/>
  <c r="D26" i="2"/>
  <c r="B33" i="2"/>
  <c r="D27" i="2"/>
  <c r="E27" i="2"/>
  <c r="F27" i="2"/>
  <c r="B50" i="2"/>
  <c r="B51" i="2"/>
  <c r="D16" i="2"/>
  <c r="E16" i="2"/>
  <c r="F16" i="2"/>
  <c r="C49" i="2"/>
  <c r="B34" i="2"/>
  <c r="D28" i="2"/>
  <c r="E28" i="2"/>
  <c r="F28" i="2"/>
  <c r="C50" i="2"/>
  <c r="C51" i="2"/>
  <c r="D17" i="2"/>
  <c r="E17" i="2"/>
  <c r="F17" i="2"/>
  <c r="D49" i="2"/>
  <c r="B35" i="2"/>
  <c r="D29" i="2"/>
  <c r="E29" i="2"/>
  <c r="F29" i="2"/>
  <c r="D50" i="2"/>
  <c r="D51" i="2"/>
  <c r="D18" i="2"/>
  <c r="E18" i="2"/>
  <c r="F18" i="2"/>
  <c r="E49" i="2"/>
  <c r="B36" i="2"/>
  <c r="D30" i="2"/>
  <c r="E30" i="2"/>
  <c r="F30" i="2"/>
  <c r="E50" i="2"/>
  <c r="E51" i="2"/>
  <c r="D19" i="2"/>
  <c r="E19" i="2"/>
  <c r="F19" i="2"/>
  <c r="F49" i="2"/>
  <c r="B37" i="2"/>
  <c r="D31" i="2"/>
  <c r="E31" i="2"/>
  <c r="F31" i="2"/>
  <c r="F50" i="2"/>
  <c r="F51" i="2"/>
  <c r="D20" i="2"/>
  <c r="E20" i="2"/>
  <c r="F20" i="2"/>
  <c r="G49" i="2"/>
  <c r="B38" i="2"/>
  <c r="D32" i="2"/>
  <c r="E32" i="2"/>
  <c r="F32" i="2"/>
  <c r="G50" i="2"/>
  <c r="G51" i="2"/>
  <c r="B3" i="2"/>
  <c r="B4" i="2"/>
  <c r="B5" i="2"/>
  <c r="B6" i="2"/>
  <c r="B7" i="2"/>
  <c r="B8" i="2"/>
  <c r="D8" i="2"/>
  <c r="D9" i="2"/>
  <c r="E9" i="2"/>
  <c r="F9" i="2"/>
  <c r="H48" i="2"/>
  <c r="D21" i="2"/>
  <c r="E21" i="2"/>
  <c r="F21" i="2"/>
  <c r="H49" i="2"/>
  <c r="H51" i="2"/>
  <c r="D10" i="2"/>
  <c r="E10" i="2"/>
  <c r="F10" i="2"/>
  <c r="I48" i="2"/>
  <c r="D22" i="2"/>
  <c r="E22" i="2"/>
  <c r="F22" i="2"/>
  <c r="I49" i="2"/>
  <c r="I51" i="2"/>
  <c r="D11" i="2"/>
  <c r="E11" i="2"/>
  <c r="F11" i="2"/>
  <c r="J48" i="2"/>
  <c r="D23" i="2"/>
  <c r="E23" i="2"/>
  <c r="F23" i="2"/>
  <c r="J49" i="2"/>
  <c r="J51" i="2"/>
  <c r="D12" i="2"/>
  <c r="E12" i="2"/>
  <c r="F12" i="2"/>
  <c r="K48" i="2"/>
  <c r="D24" i="2"/>
  <c r="E24" i="2"/>
  <c r="F24" i="2"/>
  <c r="K49" i="2"/>
  <c r="K51" i="2"/>
  <c r="D13" i="2"/>
  <c r="E13" i="2"/>
  <c r="F13" i="2"/>
  <c r="L48" i="2"/>
  <c r="D25" i="2"/>
  <c r="E25" i="2"/>
  <c r="F25" i="2"/>
  <c r="L49" i="2"/>
  <c r="L51" i="2"/>
  <c r="E14" i="2"/>
  <c r="F14" i="2"/>
  <c r="M48" i="2"/>
  <c r="E26" i="2"/>
  <c r="F26" i="2"/>
  <c r="M49" i="2"/>
  <c r="M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N51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D48" i="1"/>
  <c r="D47" i="1"/>
  <c r="D46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10" i="1"/>
  <c r="E10" i="1"/>
  <c r="D51" i="1"/>
  <c r="H39" i="2"/>
  <c r="H40" i="2"/>
  <c r="I4" i="2"/>
  <c r="J4" i="2"/>
  <c r="K4" i="2"/>
  <c r="L4" i="2"/>
  <c r="M4" i="2"/>
  <c r="I3" i="2"/>
  <c r="J3" i="2"/>
  <c r="N3" i="2"/>
  <c r="N4" i="2"/>
  <c r="I5" i="2"/>
  <c r="J5" i="2"/>
  <c r="N5" i="2"/>
  <c r="O4" i="2"/>
  <c r="P4" i="2"/>
  <c r="K5" i="2"/>
  <c r="L5" i="2"/>
  <c r="M5" i="2"/>
  <c r="I6" i="2"/>
  <c r="J6" i="2"/>
  <c r="N6" i="2"/>
  <c r="O5" i="2"/>
  <c r="P5" i="2"/>
  <c r="K6" i="2"/>
  <c r="L6" i="2"/>
  <c r="M6" i="2"/>
  <c r="I7" i="2"/>
  <c r="J7" i="2"/>
  <c r="N7" i="2"/>
  <c r="O6" i="2"/>
  <c r="P6" i="2"/>
  <c r="K7" i="2"/>
  <c r="L7" i="2"/>
  <c r="M7" i="2"/>
  <c r="I8" i="2"/>
  <c r="J8" i="2"/>
  <c r="N8" i="2"/>
  <c r="O7" i="2"/>
  <c r="P7" i="2"/>
  <c r="K8" i="2"/>
  <c r="L8" i="2"/>
  <c r="M8" i="2"/>
  <c r="I9" i="2"/>
  <c r="J9" i="2"/>
  <c r="N9" i="2"/>
  <c r="O8" i="2"/>
  <c r="P8" i="2"/>
  <c r="K9" i="2"/>
  <c r="L9" i="2"/>
  <c r="M9" i="2"/>
  <c r="I10" i="2"/>
  <c r="J10" i="2"/>
  <c r="N10" i="2"/>
  <c r="O9" i="2"/>
  <c r="P9" i="2"/>
  <c r="K10" i="2"/>
  <c r="L10" i="2"/>
  <c r="M10" i="2"/>
  <c r="I11" i="2"/>
  <c r="J11" i="2"/>
  <c r="N11" i="2"/>
  <c r="O10" i="2"/>
  <c r="P10" i="2"/>
  <c r="K11" i="2"/>
  <c r="L11" i="2"/>
  <c r="M11" i="2"/>
  <c r="I12" i="2"/>
  <c r="J12" i="2"/>
  <c r="N12" i="2"/>
  <c r="O11" i="2"/>
  <c r="P11" i="2"/>
  <c r="K12" i="2"/>
  <c r="L12" i="2"/>
  <c r="M12" i="2"/>
  <c r="I13" i="2"/>
  <c r="J13" i="2"/>
  <c r="N13" i="2"/>
  <c r="O12" i="2"/>
  <c r="P12" i="2"/>
  <c r="K13" i="2"/>
  <c r="L13" i="2"/>
  <c r="M13" i="2"/>
  <c r="I14" i="2"/>
  <c r="J14" i="2"/>
  <c r="N14" i="2"/>
  <c r="O13" i="2"/>
  <c r="P13" i="2"/>
  <c r="K14" i="2"/>
  <c r="L14" i="2"/>
  <c r="M14" i="2"/>
  <c r="I15" i="2"/>
  <c r="J15" i="2"/>
  <c r="N15" i="2"/>
  <c r="O14" i="2"/>
  <c r="P14" i="2"/>
  <c r="K15" i="2"/>
  <c r="L15" i="2"/>
  <c r="M15" i="2"/>
  <c r="I16" i="2"/>
  <c r="J16" i="2"/>
  <c r="N16" i="2"/>
  <c r="O15" i="2"/>
  <c r="P15" i="2"/>
  <c r="K16" i="2"/>
  <c r="L16" i="2"/>
  <c r="M16" i="2"/>
  <c r="I17" i="2"/>
  <c r="J17" i="2"/>
  <c r="N17" i="2"/>
  <c r="O16" i="2"/>
  <c r="P16" i="2"/>
  <c r="K17" i="2"/>
  <c r="L17" i="2"/>
  <c r="M17" i="2"/>
  <c r="I18" i="2"/>
  <c r="J18" i="2"/>
  <c r="N18" i="2"/>
  <c r="O17" i="2"/>
  <c r="P17" i="2"/>
  <c r="K18" i="2"/>
  <c r="L18" i="2"/>
  <c r="M18" i="2"/>
  <c r="I19" i="2"/>
  <c r="J19" i="2"/>
  <c r="N19" i="2"/>
  <c r="O18" i="2"/>
  <c r="P18" i="2"/>
  <c r="K19" i="2"/>
  <c r="L19" i="2"/>
  <c r="M19" i="2"/>
  <c r="I20" i="2"/>
  <c r="J20" i="2"/>
  <c r="N20" i="2"/>
  <c r="O19" i="2"/>
  <c r="P19" i="2"/>
  <c r="K20" i="2"/>
  <c r="L20" i="2"/>
  <c r="M20" i="2"/>
  <c r="I21" i="2"/>
  <c r="J21" i="2"/>
  <c r="N21" i="2"/>
  <c r="O20" i="2"/>
  <c r="P20" i="2"/>
  <c r="K21" i="2"/>
  <c r="L21" i="2"/>
  <c r="M21" i="2"/>
  <c r="I22" i="2"/>
  <c r="J22" i="2"/>
  <c r="N22" i="2"/>
  <c r="O21" i="2"/>
  <c r="P21" i="2"/>
  <c r="K22" i="2"/>
  <c r="L22" i="2"/>
  <c r="M22" i="2"/>
  <c r="I23" i="2"/>
  <c r="J23" i="2"/>
  <c r="N23" i="2"/>
  <c r="O22" i="2"/>
  <c r="P22" i="2"/>
  <c r="K23" i="2"/>
  <c r="L23" i="2"/>
  <c r="M23" i="2"/>
  <c r="I24" i="2"/>
  <c r="J24" i="2"/>
  <c r="N24" i="2"/>
  <c r="O23" i="2"/>
  <c r="P23" i="2"/>
  <c r="K24" i="2"/>
  <c r="L24" i="2"/>
  <c r="M24" i="2"/>
  <c r="I25" i="2"/>
  <c r="J25" i="2"/>
  <c r="N25" i="2"/>
  <c r="O24" i="2"/>
  <c r="P24" i="2"/>
  <c r="K25" i="2"/>
  <c r="L25" i="2"/>
  <c r="M25" i="2"/>
  <c r="I26" i="2"/>
  <c r="J26" i="2"/>
  <c r="N26" i="2"/>
  <c r="O25" i="2"/>
  <c r="P25" i="2"/>
  <c r="K26" i="2"/>
  <c r="L26" i="2"/>
  <c r="M26" i="2"/>
  <c r="I27" i="2"/>
  <c r="J27" i="2"/>
  <c r="N27" i="2"/>
  <c r="O26" i="2"/>
  <c r="P26" i="2"/>
  <c r="K27" i="2"/>
  <c r="L27" i="2"/>
  <c r="M27" i="2"/>
  <c r="I28" i="2"/>
  <c r="J28" i="2"/>
  <c r="N28" i="2"/>
  <c r="O27" i="2"/>
  <c r="P27" i="2"/>
  <c r="K28" i="2"/>
  <c r="L28" i="2"/>
  <c r="M28" i="2"/>
  <c r="I29" i="2"/>
  <c r="J29" i="2"/>
  <c r="N29" i="2"/>
  <c r="O28" i="2"/>
  <c r="P28" i="2"/>
  <c r="K29" i="2"/>
  <c r="L29" i="2"/>
  <c r="M29" i="2"/>
  <c r="I30" i="2"/>
  <c r="J30" i="2"/>
  <c r="N30" i="2"/>
  <c r="O29" i="2"/>
  <c r="P29" i="2"/>
  <c r="K30" i="2"/>
  <c r="L30" i="2"/>
  <c r="M30" i="2"/>
  <c r="I31" i="2"/>
  <c r="J31" i="2"/>
  <c r="N31" i="2"/>
  <c r="O30" i="2"/>
  <c r="P30" i="2"/>
  <c r="K31" i="2"/>
  <c r="L31" i="2"/>
  <c r="M31" i="2"/>
  <c r="I32" i="2"/>
  <c r="J32" i="2"/>
  <c r="N32" i="2"/>
  <c r="O31" i="2"/>
  <c r="P31" i="2"/>
  <c r="K32" i="2"/>
  <c r="L32" i="2"/>
  <c r="M32" i="2"/>
  <c r="I33" i="2"/>
  <c r="J33" i="2"/>
  <c r="N33" i="2"/>
  <c r="O32" i="2"/>
  <c r="P32" i="2"/>
  <c r="K33" i="2"/>
  <c r="L33" i="2"/>
  <c r="M33" i="2"/>
  <c r="I34" i="2"/>
  <c r="J34" i="2"/>
  <c r="N34" i="2"/>
  <c r="O33" i="2"/>
  <c r="P33" i="2"/>
  <c r="K34" i="2"/>
  <c r="L34" i="2"/>
  <c r="M34" i="2"/>
  <c r="I35" i="2"/>
  <c r="J35" i="2"/>
  <c r="N35" i="2"/>
  <c r="O34" i="2"/>
  <c r="P34" i="2"/>
  <c r="K35" i="2"/>
  <c r="L35" i="2"/>
  <c r="M35" i="2"/>
  <c r="I36" i="2"/>
  <c r="J36" i="2"/>
  <c r="N36" i="2"/>
  <c r="O35" i="2"/>
  <c r="P35" i="2"/>
  <c r="K36" i="2"/>
  <c r="L36" i="2"/>
  <c r="M36" i="2"/>
  <c r="I37" i="2"/>
  <c r="J37" i="2"/>
  <c r="N37" i="2"/>
  <c r="O36" i="2"/>
  <c r="P36" i="2"/>
  <c r="K37" i="2"/>
  <c r="L37" i="2"/>
  <c r="M37" i="2"/>
  <c r="I38" i="2"/>
  <c r="J38" i="2"/>
  <c r="N38" i="2"/>
  <c r="O37" i="2"/>
  <c r="P37" i="2"/>
  <c r="K38" i="2"/>
  <c r="L38" i="2"/>
  <c r="M38" i="2"/>
  <c r="K3" i="2"/>
  <c r="K39" i="2"/>
  <c r="L3" i="2"/>
  <c r="L39" i="2"/>
  <c r="M3" i="2"/>
  <c r="M39" i="2"/>
  <c r="H41" i="2"/>
  <c r="B15" i="3"/>
  <c r="B9" i="3"/>
  <c r="B10" i="3"/>
  <c r="B11" i="3"/>
  <c r="B12" i="3"/>
  <c r="B13" i="3"/>
  <c r="B14" i="3"/>
  <c r="B16" i="3"/>
  <c r="B17" i="3"/>
  <c r="B18" i="3"/>
  <c r="B19" i="3"/>
  <c r="B20" i="3"/>
  <c r="D14" i="3"/>
  <c r="B21" i="3"/>
  <c r="D15" i="3"/>
  <c r="E15" i="3"/>
  <c r="F15" i="3"/>
  <c r="B49" i="3"/>
  <c r="B27" i="3"/>
  <c r="B22" i="3"/>
  <c r="B23" i="3"/>
  <c r="B24" i="3"/>
  <c r="B25" i="3"/>
  <c r="B26" i="3"/>
  <c r="B28" i="3"/>
  <c r="B29" i="3"/>
  <c r="B30" i="3"/>
  <c r="B31" i="3"/>
  <c r="B32" i="3"/>
  <c r="D26" i="3"/>
  <c r="B33" i="3"/>
  <c r="D27" i="3"/>
  <c r="E27" i="3"/>
  <c r="F27" i="3"/>
  <c r="B50" i="3"/>
  <c r="B51" i="3"/>
  <c r="D16" i="3"/>
  <c r="E16" i="3"/>
  <c r="F16" i="3"/>
  <c r="C49" i="3"/>
  <c r="B34" i="3"/>
  <c r="D28" i="3"/>
  <c r="E28" i="3"/>
  <c r="F28" i="3"/>
  <c r="C50" i="3"/>
  <c r="C51" i="3"/>
  <c r="D17" i="3"/>
  <c r="E17" i="3"/>
  <c r="F17" i="3"/>
  <c r="D49" i="3"/>
  <c r="B35" i="3"/>
  <c r="D29" i="3"/>
  <c r="E29" i="3"/>
  <c r="F29" i="3"/>
  <c r="D50" i="3"/>
  <c r="D51" i="3"/>
  <c r="D18" i="3"/>
  <c r="E18" i="3"/>
  <c r="F18" i="3"/>
  <c r="E49" i="3"/>
  <c r="B36" i="3"/>
  <c r="D30" i="3"/>
  <c r="E30" i="3"/>
  <c r="F30" i="3"/>
  <c r="E50" i="3"/>
  <c r="E51" i="3"/>
  <c r="D19" i="3"/>
  <c r="E19" i="3"/>
  <c r="F19" i="3"/>
  <c r="F49" i="3"/>
  <c r="B37" i="3"/>
  <c r="D31" i="3"/>
  <c r="E31" i="3"/>
  <c r="F31" i="3"/>
  <c r="F50" i="3"/>
  <c r="F51" i="3"/>
  <c r="D20" i="3"/>
  <c r="E20" i="3"/>
  <c r="F20" i="3"/>
  <c r="G49" i="3"/>
  <c r="B38" i="3"/>
  <c r="D32" i="3"/>
  <c r="E32" i="3"/>
  <c r="F32" i="3"/>
  <c r="G50" i="3"/>
  <c r="G51" i="3"/>
  <c r="B3" i="3"/>
  <c r="B4" i="3"/>
  <c r="B5" i="3"/>
  <c r="B6" i="3"/>
  <c r="B7" i="3"/>
  <c r="B8" i="3"/>
  <c r="D8" i="3"/>
  <c r="D9" i="3"/>
  <c r="E9" i="3"/>
  <c r="F9" i="3"/>
  <c r="H48" i="3"/>
  <c r="D21" i="3"/>
  <c r="E21" i="3"/>
  <c r="F21" i="3"/>
  <c r="H49" i="3"/>
  <c r="H51" i="3"/>
  <c r="D10" i="3"/>
  <c r="E10" i="3"/>
  <c r="F10" i="3"/>
  <c r="I48" i="3"/>
  <c r="D22" i="3"/>
  <c r="E22" i="3"/>
  <c r="F22" i="3"/>
  <c r="I49" i="3"/>
  <c r="I51" i="3"/>
  <c r="D11" i="3"/>
  <c r="E11" i="3"/>
  <c r="F11" i="3"/>
  <c r="J48" i="3"/>
  <c r="D23" i="3"/>
  <c r="E23" i="3"/>
  <c r="F23" i="3"/>
  <c r="J49" i="3"/>
  <c r="J51" i="3"/>
  <c r="D12" i="3"/>
  <c r="E12" i="3"/>
  <c r="F12" i="3"/>
  <c r="K48" i="3"/>
  <c r="D24" i="3"/>
  <c r="E24" i="3"/>
  <c r="F24" i="3"/>
  <c r="K49" i="3"/>
  <c r="K51" i="3"/>
  <c r="D13" i="3"/>
  <c r="E13" i="3"/>
  <c r="F13" i="3"/>
  <c r="L48" i="3"/>
  <c r="D25" i="3"/>
  <c r="E25" i="3"/>
  <c r="F25" i="3"/>
  <c r="L49" i="3"/>
  <c r="L51" i="3"/>
  <c r="E14" i="3"/>
  <c r="F14" i="3"/>
  <c r="M48" i="3"/>
  <c r="E26" i="3"/>
  <c r="F26" i="3"/>
  <c r="M49" i="3"/>
  <c r="M51" i="3"/>
  <c r="B52" i="3"/>
  <c r="G3" i="3"/>
  <c r="H3" i="3"/>
  <c r="C52" i="3"/>
  <c r="G4" i="3"/>
  <c r="H4" i="3"/>
  <c r="D52" i="3"/>
  <c r="G5" i="3"/>
  <c r="H5" i="3"/>
  <c r="E52" i="3"/>
  <c r="G6" i="3"/>
  <c r="H6" i="3"/>
  <c r="F52" i="3"/>
  <c r="G7" i="3"/>
  <c r="H7" i="3"/>
  <c r="G52" i="3"/>
  <c r="G8" i="3"/>
  <c r="H8" i="3"/>
  <c r="H52" i="3"/>
  <c r="G9" i="3"/>
  <c r="H9" i="3"/>
  <c r="I52" i="3"/>
  <c r="G10" i="3"/>
  <c r="H10" i="3"/>
  <c r="J52" i="3"/>
  <c r="G11" i="3"/>
  <c r="H11" i="3"/>
  <c r="K52" i="3"/>
  <c r="G12" i="3"/>
  <c r="H12" i="3"/>
  <c r="L52" i="3"/>
  <c r="G13" i="3"/>
  <c r="H13" i="3"/>
  <c r="M52" i="3"/>
  <c r="G14" i="3"/>
  <c r="H14" i="3"/>
  <c r="G15" i="3"/>
  <c r="H15" i="3"/>
  <c r="G16" i="3"/>
  <c r="H16" i="3"/>
  <c r="G17" i="3"/>
  <c r="H17" i="3"/>
  <c r="G18" i="3"/>
  <c r="H18" i="3"/>
  <c r="G19" i="3"/>
  <c r="H19" i="3"/>
  <c r="G20" i="3"/>
  <c r="H20" i="3"/>
  <c r="G21" i="3"/>
  <c r="H21" i="3"/>
  <c r="G22" i="3"/>
  <c r="H22" i="3"/>
  <c r="G23" i="3"/>
  <c r="H23" i="3"/>
  <c r="G24" i="3"/>
  <c r="H24" i="3"/>
  <c r="G25" i="3"/>
  <c r="H25" i="3"/>
  <c r="G26" i="3"/>
  <c r="H26" i="3"/>
  <c r="G27" i="3"/>
  <c r="H27" i="3"/>
  <c r="G28" i="3"/>
  <c r="H28" i="3"/>
  <c r="G29" i="3"/>
  <c r="H29" i="3"/>
  <c r="G30" i="3"/>
  <c r="H30" i="3"/>
  <c r="G31" i="3"/>
  <c r="H31" i="3"/>
  <c r="G32" i="3"/>
  <c r="H32" i="3"/>
  <c r="G33" i="3"/>
  <c r="H33" i="3"/>
  <c r="G34" i="3"/>
  <c r="H34" i="3"/>
  <c r="G35" i="3"/>
  <c r="H35" i="3"/>
  <c r="G36" i="3"/>
  <c r="H36" i="3"/>
  <c r="G37" i="3"/>
  <c r="H37" i="3"/>
  <c r="G38" i="3"/>
  <c r="H38" i="3"/>
  <c r="H40" i="3"/>
  <c r="N51" i="3"/>
  <c r="N52" i="3"/>
  <c r="D61" i="3"/>
  <c r="D62" i="3"/>
  <c r="D63" i="3"/>
  <c r="D64" i="3"/>
  <c r="D65" i="3"/>
  <c r="D66" i="3"/>
  <c r="D67" i="3"/>
  <c r="D68" i="3"/>
  <c r="D69" i="3"/>
  <c r="D70" i="3"/>
  <c r="D71" i="3"/>
  <c r="D72" i="3"/>
  <c r="H39" i="3"/>
  <c r="C72" i="3"/>
  <c r="E72" i="3"/>
  <c r="C71" i="3"/>
  <c r="E71" i="3"/>
  <c r="C70" i="3"/>
  <c r="E70" i="3"/>
  <c r="C69" i="3"/>
  <c r="E69" i="3"/>
  <c r="C68" i="3"/>
  <c r="E68" i="3"/>
  <c r="C67" i="3"/>
  <c r="E67" i="3"/>
  <c r="C66" i="3"/>
  <c r="E66" i="3"/>
  <c r="C65" i="3"/>
  <c r="E65" i="3"/>
  <c r="C64" i="3"/>
  <c r="E64" i="3"/>
  <c r="C63" i="3"/>
  <c r="E63" i="3"/>
  <c r="C62" i="3"/>
  <c r="E62" i="3"/>
  <c r="C61" i="3"/>
  <c r="E61" i="3"/>
  <c r="H41" i="3"/>
  <c r="I3" i="3"/>
  <c r="J3" i="3"/>
  <c r="M3" i="3"/>
  <c r="I4" i="3"/>
  <c r="J4" i="3"/>
  <c r="M4" i="3"/>
  <c r="I5" i="3"/>
  <c r="J5" i="3"/>
  <c r="M5" i="3"/>
  <c r="I6" i="3"/>
  <c r="J6" i="3"/>
  <c r="M6" i="3"/>
  <c r="I7" i="3"/>
  <c r="J7" i="3"/>
  <c r="M7" i="3"/>
  <c r="I8" i="3"/>
  <c r="J8" i="3"/>
  <c r="M8" i="3"/>
  <c r="I9" i="3"/>
  <c r="J9" i="3"/>
  <c r="M9" i="3"/>
  <c r="I10" i="3"/>
  <c r="J10" i="3"/>
  <c r="M10" i="3"/>
  <c r="I11" i="3"/>
  <c r="J11" i="3"/>
  <c r="M11" i="3"/>
  <c r="I12" i="3"/>
  <c r="J12" i="3"/>
  <c r="M12" i="3"/>
  <c r="I13" i="3"/>
  <c r="J13" i="3"/>
  <c r="M13" i="3"/>
  <c r="I14" i="3"/>
  <c r="J14" i="3"/>
  <c r="M14" i="3"/>
  <c r="I15" i="3"/>
  <c r="J15" i="3"/>
  <c r="M15" i="3"/>
  <c r="I16" i="3"/>
  <c r="J16" i="3"/>
  <c r="M16" i="3"/>
  <c r="I17" i="3"/>
  <c r="J17" i="3"/>
  <c r="M17" i="3"/>
  <c r="I18" i="3"/>
  <c r="J18" i="3"/>
  <c r="M18" i="3"/>
  <c r="I19" i="3"/>
  <c r="J19" i="3"/>
  <c r="M19" i="3"/>
  <c r="I20" i="3"/>
  <c r="J20" i="3"/>
  <c r="M20" i="3"/>
  <c r="I21" i="3"/>
  <c r="J21" i="3"/>
  <c r="M21" i="3"/>
  <c r="I22" i="3"/>
  <c r="J22" i="3"/>
  <c r="M22" i="3"/>
  <c r="I23" i="3"/>
  <c r="J23" i="3"/>
  <c r="M23" i="3"/>
  <c r="I24" i="3"/>
  <c r="J24" i="3"/>
  <c r="M24" i="3"/>
  <c r="I25" i="3"/>
  <c r="J25" i="3"/>
  <c r="M25" i="3"/>
  <c r="I26" i="3"/>
  <c r="J26" i="3"/>
  <c r="M26" i="3"/>
  <c r="I27" i="3"/>
  <c r="J27" i="3"/>
  <c r="M27" i="3"/>
  <c r="I28" i="3"/>
  <c r="J28" i="3"/>
  <c r="M28" i="3"/>
  <c r="I29" i="3"/>
  <c r="J29" i="3"/>
  <c r="M29" i="3"/>
  <c r="I30" i="3"/>
  <c r="J30" i="3"/>
  <c r="M30" i="3"/>
  <c r="I31" i="3"/>
  <c r="J31" i="3"/>
  <c r="M31" i="3"/>
  <c r="I32" i="3"/>
  <c r="J32" i="3"/>
  <c r="M32" i="3"/>
  <c r="I33" i="3"/>
  <c r="J33" i="3"/>
  <c r="M33" i="3"/>
  <c r="I34" i="3"/>
  <c r="J34" i="3"/>
  <c r="M34" i="3"/>
  <c r="I35" i="3"/>
  <c r="J35" i="3"/>
  <c r="M35" i="3"/>
  <c r="I36" i="3"/>
  <c r="J36" i="3"/>
  <c r="M36" i="3"/>
  <c r="I37" i="3"/>
  <c r="J37" i="3"/>
  <c r="M37" i="3"/>
  <c r="I38" i="3"/>
  <c r="J38" i="3"/>
  <c r="M38" i="3"/>
  <c r="M39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N37" i="3"/>
  <c r="N36" i="3"/>
  <c r="N38" i="3"/>
  <c r="O37" i="3"/>
  <c r="P37" i="3"/>
  <c r="N35" i="3"/>
  <c r="O36" i="3"/>
  <c r="P36" i="3"/>
  <c r="N34" i="3"/>
  <c r="O35" i="3"/>
  <c r="P35" i="3"/>
  <c r="N33" i="3"/>
  <c r="O34" i="3"/>
  <c r="P34" i="3"/>
  <c r="N32" i="3"/>
  <c r="O33" i="3"/>
  <c r="P33" i="3"/>
  <c r="N31" i="3"/>
  <c r="O32" i="3"/>
  <c r="P32" i="3"/>
  <c r="N30" i="3"/>
  <c r="O31" i="3"/>
  <c r="P31" i="3"/>
  <c r="N29" i="3"/>
  <c r="O30" i="3"/>
  <c r="P30" i="3"/>
  <c r="N28" i="3"/>
  <c r="O29" i="3"/>
  <c r="P29" i="3"/>
  <c r="N27" i="3"/>
  <c r="O28" i="3"/>
  <c r="P28" i="3"/>
  <c r="N26" i="3"/>
  <c r="O27" i="3"/>
  <c r="P27" i="3"/>
  <c r="N25" i="3"/>
  <c r="O26" i="3"/>
  <c r="P26" i="3"/>
  <c r="N24" i="3"/>
  <c r="O25" i="3"/>
  <c r="P25" i="3"/>
  <c r="N23" i="3"/>
  <c r="O24" i="3"/>
  <c r="P24" i="3"/>
  <c r="N22" i="3"/>
  <c r="O23" i="3"/>
  <c r="P23" i="3"/>
  <c r="N21" i="3"/>
  <c r="O22" i="3"/>
  <c r="P22" i="3"/>
  <c r="N20" i="3"/>
  <c r="O21" i="3"/>
  <c r="P21" i="3"/>
  <c r="N19" i="3"/>
  <c r="O20" i="3"/>
  <c r="P20" i="3"/>
  <c r="N18" i="3"/>
  <c r="O19" i="3"/>
  <c r="P19" i="3"/>
  <c r="N17" i="3"/>
  <c r="O18" i="3"/>
  <c r="P18" i="3"/>
  <c r="N16" i="3"/>
  <c r="O17" i="3"/>
  <c r="P17" i="3"/>
  <c r="N15" i="3"/>
  <c r="O16" i="3"/>
  <c r="P16" i="3"/>
  <c r="N14" i="3"/>
  <c r="O15" i="3"/>
  <c r="P15" i="3"/>
  <c r="N13" i="3"/>
  <c r="O14" i="3"/>
  <c r="P14" i="3"/>
  <c r="N12" i="3"/>
  <c r="O13" i="3"/>
  <c r="P13" i="3"/>
  <c r="N11" i="3"/>
  <c r="O12" i="3"/>
  <c r="P12" i="3"/>
  <c r="N10" i="3"/>
  <c r="O11" i="3"/>
  <c r="P11" i="3"/>
  <c r="N9" i="3"/>
  <c r="O10" i="3"/>
  <c r="P10" i="3"/>
  <c r="N8" i="3"/>
  <c r="O9" i="3"/>
  <c r="P9" i="3"/>
  <c r="N7" i="3"/>
  <c r="O8" i="3"/>
  <c r="P8" i="3"/>
  <c r="N6" i="3"/>
  <c r="O7" i="3"/>
  <c r="P7" i="3"/>
  <c r="N5" i="3"/>
  <c r="O6" i="3"/>
  <c r="P6" i="3"/>
  <c r="N4" i="3"/>
  <c r="O5" i="3"/>
  <c r="P5" i="3"/>
  <c r="N3" i="3"/>
  <c r="O4" i="3"/>
  <c r="P4" i="3"/>
</calcChain>
</file>

<file path=xl/sharedStrings.xml><?xml version="1.0" encoding="utf-8"?>
<sst xmlns="http://schemas.openxmlformats.org/spreadsheetml/2006/main" count="318" uniqueCount="250">
  <si>
    <t>Simple linear regression for trend forecasting</t>
  </si>
  <si>
    <t>CUBE:</t>
  </si>
  <si>
    <t>ESPTM1:ActualByDay</t>
  </si>
  <si>
    <t>SKU Unit Codes:</t>
  </si>
  <si>
    <t>V11H838052 - EB-S05</t>
  </si>
  <si>
    <t>Format:</t>
  </si>
  <si>
    <t>ISM Sell-In</t>
  </si>
  <si>
    <t>Model Description:</t>
  </si>
  <si>
    <t>EB-S05</t>
  </si>
  <si>
    <t>Forecast_SCM_Measure:</t>
  </si>
  <si>
    <t>EPC</t>
  </si>
  <si>
    <t>Year:</t>
  </si>
  <si>
    <t>Period</t>
  </si>
  <si>
    <t>Month</t>
  </si>
  <si>
    <t>Actual Sales</t>
  </si>
  <si>
    <t>Trend</t>
  </si>
  <si>
    <t>Absolute error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</si>
  <si>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</si>
  <si>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</si>
  <si>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</si>
  <si>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</si>
  <si>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</si>
  <si>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</si>
  <si>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</si>
  <si>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</si>
  <si>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</si>
  <si>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</si>
  <si>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</si>
  <si>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</si>
  <si>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</si>
  <si>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</si>
  <si>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</si>
  <si>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</si>
  <si>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</si>
  <si>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</si>
  <si>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</si>
  <si>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</si>
  <si>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</si>
  <si>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2018 Jan</t>
  </si>
  <si>
    <t>2018 Feb</t>
  </si>
  <si>
    <t>2018 Mar</t>
  </si>
  <si>
    <t>2018 Apr</t>
  </si>
  <si>
    <t>2018 May</t>
  </si>
  <si>
    <t>2018 Jun</t>
  </si>
  <si>
    <t>2018 Jul</t>
  </si>
  <si>
    <t>2018 Aug</t>
  </si>
  <si>
    <t>2018 Sep</t>
  </si>
  <si>
    <t>2018 Oct</t>
  </si>
  <si>
    <t>2018 Nov</t>
  </si>
  <si>
    <t>2018 Dec</t>
  </si>
  <si>
    <t>2019 Jan</t>
  </si>
  <si>
    <t>2019 Feb</t>
  </si>
  <si>
    <t>2019 Mar</t>
  </si>
  <si>
    <t>2019 Apr</t>
  </si>
  <si>
    <t>2019 May</t>
  </si>
  <si>
    <t>2019 Jun</t>
  </si>
  <si>
    <t>Mean absolute error</t>
  </si>
  <si>
    <t>Input Data</t>
  </si>
  <si>
    <t>Seasonal Index Computation</t>
  </si>
  <si>
    <t>Forecast &amp; Error analysis</t>
  </si>
  <si>
    <t>Further Decomposition for Cyclicity and Irregular Variations</t>
  </si>
  <si>
    <t>Time Period (X)</t>
  </si>
  <si>
    <t>Moving Average
(e.g. 12 months)</t>
  </si>
  <si>
    <r>
      <t>Centred Moving Average 
(=(MA</t>
    </r>
    <r>
      <rPr>
        <vertAlign val="subscript"/>
        <sz val="11"/>
        <color theme="1"/>
        <rFont val="Calibri"/>
        <family val="2"/>
        <scheme val="minor"/>
      </rPr>
      <t xml:space="preserve">i-1 </t>
    </r>
    <r>
      <rPr>
        <sz val="11"/>
        <color theme="1"/>
        <rFont val="Calibri"/>
        <family val="2"/>
        <scheme val="minor"/>
      </rPr>
      <t>+ MA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)/2)
</t>
    </r>
  </si>
  <si>
    <r>
      <t>Seasonal Ratio (=Y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/CMA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</si>
  <si>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Seasonal Index 
(= normalized average of seasonal ratio)</t>
  </si>
  <si>
    <r>
      <t>Deseasonalized Value 
(= 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/ Seasonal Index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</si>
  <si>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Deseasonalized Forecast
(=slope*X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+ intercept) 
</t>
    </r>
  </si>
  <si>
    <r>
      <t>Seasonalized Forecast
(= Seasonal Index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*Deseasonalized forecast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</si>
  <si>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Absolute Deviation, AD
(= |Y</t>
    </r>
    <r>
      <rPr>
        <vertAlign val="subscript"/>
        <sz val="11"/>
        <color theme="1"/>
        <rFont val="Calibri"/>
        <family val="2"/>
        <scheme val="minor"/>
      </rPr>
      <t xml:space="preserve">i </t>
    </r>
    <r>
      <rPr>
        <sz val="11"/>
        <color theme="1"/>
        <rFont val="Calibri"/>
        <family val="2"/>
        <scheme val="minor"/>
      </rPr>
      <t>- Seasonalized forecast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|)</t>
    </r>
  </si>
  <si>
    <t xml:space="preserve">Percent Absolute Deviation, 
% AD </t>
  </si>
  <si>
    <t>Squared Error, SE</t>
  </si>
  <si>
    <r>
      <t>Cyclicity*Irregular (=Yi/Seasonalized forecast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</si>
  <si>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Cyclicity (3 months MA)</t>
  </si>
  <si>
    <r>
      <t>Irregular Variations (=Cyclicity*Irregular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/Cyclicity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</si>
  <si>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Intercept</t>
  </si>
  <si>
    <t>Slope</t>
  </si>
  <si>
    <t>MAD</t>
  </si>
  <si>
    <t>MAPE</t>
  </si>
  <si>
    <t>MSE</t>
  </si>
  <si>
    <t>Equation Y(X)</t>
  </si>
  <si>
    <t>Seasonal Ratios</t>
  </si>
  <si>
    <t>12 seasons (12 months in a repetitive cycle)</t>
  </si>
  <si>
    <t>Repetitive Cycle</t>
  </si>
  <si>
    <t>Season 1 (Apr)</t>
  </si>
  <si>
    <t>Season 2 (May)</t>
  </si>
  <si>
    <t>Season 3 (Jun)</t>
  </si>
  <si>
    <t>Season 4 (Jul)</t>
  </si>
  <si>
    <t>Season 5 (Aug)</t>
  </si>
  <si>
    <t>Season 6 (Sep)</t>
  </si>
  <si>
    <t>Season 7 (Oct)</t>
  </si>
  <si>
    <t>Season 8 (Nov)</t>
  </si>
  <si>
    <t>Season 9 (Dec)</t>
  </si>
  <si>
    <t>Season 10 (Jan)</t>
  </si>
  <si>
    <t>Season 11 (Feb)</t>
  </si>
  <si>
    <t>Season 12 (Mar)</t>
  </si>
  <si>
    <t>Oct-15 to Sep-16</t>
  </si>
  <si>
    <t>Oct-16 to Sep-17</t>
  </si>
  <si>
    <t>Oct-17 to Sep-18</t>
  </si>
  <si>
    <t>Average</t>
  </si>
  <si>
    <t>(Sum of SI)</t>
  </si>
  <si>
    <t>Normalized Average</t>
  </si>
  <si>
    <t>Forecast for the next 12 months</t>
  </si>
  <si>
    <t>Time Period</t>
  </si>
  <si>
    <t>Deseasonalized Forecast</t>
  </si>
  <si>
    <t>Seasonal Index</t>
  </si>
  <si>
    <t>Seasonalized Forecast (Next 12 Months)</t>
  </si>
  <si>
    <t>2019 Jul</t>
  </si>
  <si>
    <t>2019 Aug</t>
  </si>
  <si>
    <t>2019 Sep</t>
  </si>
  <si>
    <t>SKU Unit Codes</t>
  </si>
  <si>
    <t>ModelDesc</t>
  </si>
  <si>
    <t>Text</t>
  </si>
  <si>
    <t>V11H868052 - EV-100</t>
  </si>
  <si>
    <t>EV-100</t>
  </si>
  <si>
    <t>V11H868152 - EV-105</t>
  </si>
  <si>
    <t>EV-105</t>
  </si>
  <si>
    <t>V11H950052 - EB-W50</t>
  </si>
  <si>
    <t>EB-W50</t>
  </si>
  <si>
    <t>V11H952052 - EB-U50</t>
  </si>
  <si>
    <t>EB-U50</t>
  </si>
  <si>
    <t>V11H952055 - EB-U50 (EIN)</t>
  </si>
  <si>
    <t>EB-U50 (EIN)</t>
  </si>
  <si>
    <t>V11H839052 - EB-X05</t>
  </si>
  <si>
    <t>EB-X05</t>
  </si>
  <si>
    <t>V11H839055 - EB-X400 (EIN)</t>
  </si>
  <si>
    <t>EB-X400 (EIN)</t>
  </si>
  <si>
    <t>V11H840052 - EB-W05</t>
  </si>
  <si>
    <t>EB-W05</t>
  </si>
  <si>
    <t>V11H843052 - EB-X41</t>
  </si>
  <si>
    <t>EB-X41</t>
  </si>
  <si>
    <t>V11H843055 - EB-X450 (EIN)</t>
  </si>
  <si>
    <t>EB-X450 (EIN)</t>
  </si>
  <si>
    <t>V11H844052 - EB-W41</t>
  </si>
  <si>
    <t>EB-W41</t>
  </si>
  <si>
    <t>V11H846052 - EB-U42</t>
  </si>
  <si>
    <t>EB-U42</t>
  </si>
  <si>
    <t>V11H846055 - EB-U42 (EIN)</t>
  </si>
  <si>
    <t>EB-U42 (EIN)</t>
  </si>
  <si>
    <t>V11H855052 - EB-X39</t>
  </si>
  <si>
    <t>EB-X39</t>
  </si>
  <si>
    <t>V11H856052 - EB-W39</t>
  </si>
  <si>
    <t>EB-W39</t>
  </si>
  <si>
    <t>V11H682052 - EB-965H</t>
  </si>
  <si>
    <t>EB-965H</t>
  </si>
  <si>
    <t>V11H684052 - EB-945H</t>
  </si>
  <si>
    <t>EB-945H</t>
  </si>
  <si>
    <t>V11H866052 - EB-980W</t>
  </si>
  <si>
    <t>EB-980W</t>
  </si>
  <si>
    <t>V11H793052 - EB-1785W</t>
  </si>
  <si>
    <t>EB-1785W</t>
  </si>
  <si>
    <t>V11H793055 - EB-1785W (EIN)</t>
  </si>
  <si>
    <t>EB-1785W (EIN)</t>
  </si>
  <si>
    <t>V11H794052 - EB-1781W</t>
  </si>
  <si>
    <t>EB-1781W</t>
  </si>
  <si>
    <t>V11H795052 - EB-1780W</t>
  </si>
  <si>
    <t>EB-1780W</t>
  </si>
  <si>
    <t>V11H796052 - EB-1795F</t>
  </si>
  <si>
    <t>EB-1795F</t>
  </si>
  <si>
    <t>V11H796055 - EB-1795F (EIN)</t>
  </si>
  <si>
    <t>EB-1795F (EIN)</t>
  </si>
  <si>
    <t>V11H865052 - EB-970</t>
  </si>
  <si>
    <t>EB-970</t>
  </si>
  <si>
    <t>V11H874052 - EB-2042</t>
  </si>
  <si>
    <t>EB-2042</t>
  </si>
  <si>
    <t>V11H875052 - EB-2142W</t>
  </si>
  <si>
    <t>EB-2142W</t>
  </si>
  <si>
    <t>V11H875055 - EB-2142W (EIN)</t>
  </si>
  <si>
    <t>EB-2142W (EIN)</t>
  </si>
  <si>
    <t>V11H881052 - EB-2247U</t>
  </si>
  <si>
    <t>EB-2247U</t>
  </si>
  <si>
    <t>V11H881055 - EB-2247U (EIN)</t>
  </si>
  <si>
    <t>EB-2247U (EIN)</t>
  </si>
  <si>
    <t>V11H822052 - EB-2040</t>
  </si>
  <si>
    <t>EB-2040</t>
  </si>
  <si>
    <t>V11H814052 - EB-2265U</t>
  </si>
  <si>
    <t>EB-2265U</t>
  </si>
  <si>
    <t>V11H814152 - EB-2265U (EIN)</t>
  </si>
  <si>
    <t>EB-2265U (EIN)</t>
  </si>
  <si>
    <t>V11H815052 - EB-2255U</t>
  </si>
  <si>
    <t>EB-2255U</t>
  </si>
  <si>
    <t>V11H817052 - EB-2165W</t>
  </si>
  <si>
    <t>EB-2165W</t>
  </si>
  <si>
    <t>V11H818052 - EB-2155W</t>
  </si>
  <si>
    <t>EB-2155W</t>
  </si>
  <si>
    <t>V11H820052 - EB-2065</t>
  </si>
  <si>
    <t>EB-2065</t>
  </si>
  <si>
    <t>V11H821052 - EB-2055</t>
  </si>
  <si>
    <t>EB-2055</t>
  </si>
  <si>
    <t>V11H903052 - EB-L510U</t>
  </si>
  <si>
    <t>EB-L510U</t>
  </si>
  <si>
    <t>V11H908052 - EB-L500W</t>
  </si>
  <si>
    <t>EB-L500W</t>
  </si>
  <si>
    <t>V11H824252 - EB-5530U (EIN)</t>
  </si>
  <si>
    <t>EB-5530U (EIN)</t>
  </si>
  <si>
    <t>V11H826052 - EB-5520W</t>
  </si>
  <si>
    <t>EB-5520W</t>
  </si>
  <si>
    <t>V11H901052 - EB-L610U</t>
  </si>
  <si>
    <t>EB-L610U</t>
  </si>
  <si>
    <t>V11H901055 - EB-L610U (EIN)</t>
  </si>
  <si>
    <t>EB-L610U (EIN)</t>
  </si>
  <si>
    <t>V11H904052 - EB-L610W</t>
  </si>
  <si>
    <t>EB-L610W</t>
  </si>
  <si>
    <t>V11H670052 - EB-536Wi</t>
  </si>
  <si>
    <t>EB-536Wi</t>
  </si>
  <si>
    <t>V11H671052 - EB-535W</t>
  </si>
  <si>
    <t>EB-535W</t>
  </si>
  <si>
    <t>V11H673052 - EB-530</t>
  </si>
  <si>
    <t>EB-530</t>
  </si>
  <si>
    <t>V11H838055 - EB-S400 (EIN)</t>
  </si>
  <si>
    <t>EB-S400 (EIN)</t>
  </si>
  <si>
    <t>V11H842052 - EB-S41</t>
  </si>
  <si>
    <t>EB-S41</t>
  </si>
  <si>
    <t>V11H726052 - EB-1460Ui</t>
  </si>
  <si>
    <t>EB-1460Ui</t>
  </si>
  <si>
    <t>V11H726152 - EB-1460Ui (EIN)</t>
  </si>
  <si>
    <t>EB-1460Ui (EIN)</t>
  </si>
  <si>
    <t>V11H727052 - EB-1450Ui</t>
  </si>
  <si>
    <t>EB-1450Ui</t>
  </si>
  <si>
    <t>V11H728052 - EB-696Ui</t>
  </si>
  <si>
    <t>EB-696Ui</t>
  </si>
  <si>
    <t>V11H740052 - EB-695Wi</t>
  </si>
  <si>
    <t>EB-695Wi</t>
  </si>
  <si>
    <t>V11H741052 - EB-685Wi</t>
  </si>
  <si>
    <t>EB-685Wi</t>
  </si>
  <si>
    <t>V11H876052 - EB-1470Ui</t>
  </si>
  <si>
    <t>EB-1470Ui</t>
  </si>
  <si>
    <t>V11H876055 - EB-1470Ui (EIN)</t>
  </si>
  <si>
    <t>EB-1470Ui (EIN)</t>
  </si>
  <si>
    <t>V11H919052 - Lvf1</t>
  </si>
  <si>
    <t>Lvf1</t>
  </si>
  <si>
    <t>V11H919055 - Lvf1 (EIN)</t>
  </si>
  <si>
    <t>Lvf1 (EIN)</t>
  </si>
  <si>
    <t>V11H744052 - EB-685W</t>
  </si>
  <si>
    <t>EB-685W</t>
  </si>
  <si>
    <t>V11H746052 - EB-680</t>
  </si>
  <si>
    <t>EB-680</t>
  </si>
  <si>
    <t>V11H878552 - EB-700U</t>
  </si>
  <si>
    <t>EB-700U</t>
  </si>
  <si>
    <t>V11H923052 - Lvf2s (WH)</t>
  </si>
  <si>
    <t>Lvf2s (WH)</t>
  </si>
  <si>
    <t>V11H923152 - Lvf2s (BK)</t>
  </si>
  <si>
    <t>Lvf2s (BK)</t>
  </si>
  <si>
    <t>2016 Mar</t>
  </si>
  <si>
    <t>2016 Feb</t>
  </si>
  <si>
    <t>2016 Jan</t>
  </si>
  <si>
    <t>2015 Dec</t>
  </si>
  <si>
    <t>2015 Nov</t>
  </si>
  <si>
    <t>2015 Oct</t>
  </si>
  <si>
    <t xml:space="preserve">                                                                                                    Actual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</si>
</sst>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rgb="FF0000FF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70C0"/>
      <name val="Calibri"/>
      <family val="2"/>
      <scheme val="minor"/>
    </font>
    <font>
      <sz val="1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1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5" fillId="0" borderId="2" xfId="0" applyFont="1" applyBorder="1"/>
    <xf numFmtId="0" fontId="5" fillId="0" borderId="3" xfId="0" applyFont="1" applyBorder="1"/>
    <xf numFmtId="164" fontId="5" fillId="0" borderId="3" xfId="0" applyNumberFormat="1" applyFont="1" applyBorder="1"/>
    <xf numFmtId="164" fontId="6" fillId="0" borderId="3" xfId="0" applyNumberFormat="1" applyFont="1" applyBorder="1"/>
    <xf numFmtId="0" fontId="5" fillId="0" borderId="4" xfId="0" applyFont="1" applyBorder="1"/>
    <xf numFmtId="164" fontId="6" fillId="0" borderId="4" xfId="0" applyNumberFormat="1" applyFont="1" applyBorder="1"/>
    <xf numFmtId="164" fontId="7" fillId="0" borderId="0" xfId="0" applyNumberFormat="1" applyFont="1"/>
    <xf numFmtId="0" fontId="0" fillId="0" borderId="0" xfId="0" applyFill="1" applyBorder="1" applyAlignment="1">
      <alignment wrapText="1"/>
    </xf>
    <xf numFmtId="0" fontId="0" fillId="0" borderId="0" xfId="0" applyFont="1" applyBorder="1" applyAlignment="1">
      <alignment horizontal="center" wrapText="1"/>
    </xf>
    <xf numFmtId="0" fontId="0" fillId="3" borderId="1" xfId="0" applyFont="1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top" wrapText="1"/>
    </xf>
    <xf numFmtId="0" fontId="0" fillId="5" borderId="1" xfId="0" applyFill="1" applyBorder="1" applyAlignment="1">
      <alignment horizontal="center" vertical="top" wrapText="1"/>
    </xf>
    <xf numFmtId="0" fontId="0" fillId="6" borderId="1" xfId="0" applyFill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17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65" fontId="2" fillId="4" borderId="1" xfId="0" applyNumberFormat="1" applyFont="1" applyFill="1" applyBorder="1" applyAlignment="1">
      <alignment horizontal="center"/>
    </xf>
    <xf numFmtId="165" fontId="2" fillId="5" borderId="1" xfId="0" applyNumberFormat="1" applyFont="1" applyFill="1" applyBorder="1" applyAlignment="1">
      <alignment horizontal="center"/>
    </xf>
    <xf numFmtId="10" fontId="2" fillId="5" borderId="1" xfId="0" applyNumberFormat="1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165" fontId="2" fillId="7" borderId="1" xfId="0" applyNumberFormat="1" applyFont="1" applyFill="1" applyBorder="1" applyAlignment="1">
      <alignment horizontal="center"/>
    </xf>
    <xf numFmtId="17" fontId="9" fillId="3" borderId="1" xfId="0" applyNumberFormat="1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65" fontId="9" fillId="4" borderId="1" xfId="0" applyNumberFormat="1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17" fontId="10" fillId="3" borderId="1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5" fontId="10" fillId="4" borderId="1" xfId="0" applyNumberFormat="1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0" fillId="2" borderId="1" xfId="1" applyNumberFormat="1" applyFont="1" applyFill="1" applyBorder="1" applyAlignment="1">
      <alignment horizontal="center"/>
    </xf>
    <xf numFmtId="165" fontId="0" fillId="2" borderId="1" xfId="0" applyNumberFormat="1" applyFont="1" applyFill="1" applyBorder="1" applyAlignment="1">
      <alignment horizontal="center"/>
    </xf>
    <xf numFmtId="165" fontId="0" fillId="8" borderId="7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0" fontId="0" fillId="4" borderId="1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165" fontId="9" fillId="7" borderId="1" xfId="0" applyNumberFormat="1" applyFont="1" applyFill="1" applyBorder="1" applyAlignment="1">
      <alignment horizontal="center"/>
    </xf>
    <xf numFmtId="165" fontId="10" fillId="7" borderId="1" xfId="0" applyNumberFormat="1" applyFont="1" applyFill="1" applyBorder="1" applyAlignment="1">
      <alignment horizontal="center"/>
    </xf>
    <xf numFmtId="165" fontId="0" fillId="7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165" fontId="0" fillId="4" borderId="1" xfId="0" applyNumberFormat="1" applyFont="1" applyFill="1" applyBorder="1" applyAlignment="1">
      <alignment horizontal="center" wrapText="1"/>
    </xf>
    <xf numFmtId="165" fontId="0" fillId="0" borderId="0" xfId="0" applyNumberFormat="1" applyFont="1" applyBorder="1" applyAlignment="1">
      <alignment horizontal="center" wrapText="1"/>
    </xf>
    <xf numFmtId="0" fontId="0" fillId="0" borderId="0" xfId="0" applyFont="1" applyBorder="1" applyAlignment="1">
      <alignment horizontal="left"/>
    </xf>
    <xf numFmtId="0" fontId="10" fillId="10" borderId="1" xfId="0" applyFont="1" applyFill="1" applyBorder="1" applyAlignment="1">
      <alignment horizontal="center" vertical="center" wrapText="1"/>
    </xf>
    <xf numFmtId="17" fontId="10" fillId="11" borderId="1" xfId="0" applyNumberFormat="1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165" fontId="15" fillId="9" borderId="1" xfId="0" applyNumberFormat="1" applyFont="1" applyFill="1" applyBorder="1" applyAlignment="1">
      <alignment horizontal="center"/>
    </xf>
    <xf numFmtId="165" fontId="16" fillId="0" borderId="1" xfId="0" applyNumberFormat="1" applyFont="1" applyBorder="1" applyAlignment="1">
      <alignment horizontal="center"/>
    </xf>
    <xf numFmtId="165" fontId="2" fillId="9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Font="1"/>
    <xf numFmtId="0" fontId="0" fillId="0" borderId="0" xfId="0" applyAlignment="1"/>
    <xf numFmtId="0" fontId="17" fillId="2" borderId="6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17" fontId="5" fillId="0" borderId="4" xfId="0" applyNumberFormat="1" applyFont="1" applyBorder="1"/>
    <xf numFmtId="0" fontId="9" fillId="3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7" fontId="5" fillId="0" borderId="3" xfId="0" applyNumberFormat="1" applyFont="1" applyBorder="1"/>
    <xf numFmtId="0" fontId="0" fillId="3" borderId="5" xfId="0" applyFont="1" applyFill="1" applyBorder="1" applyAlignment="1">
      <alignment horizontal="center" wrapText="1"/>
    </xf>
    <xf numFmtId="0" fontId="0" fillId="3" borderId="6" xfId="0" applyFont="1" applyFill="1" applyBorder="1" applyAlignment="1">
      <alignment horizontal="center" wrapText="1"/>
    </xf>
    <xf numFmtId="0" fontId="0" fillId="3" borderId="7" xfId="0" applyFont="1" applyFill="1" applyBorder="1" applyAlignment="1">
      <alignment horizontal="center" wrapText="1"/>
    </xf>
    <xf numFmtId="0" fontId="0" fillId="4" borderId="5" xfId="0" applyFont="1" applyFill="1" applyBorder="1" applyAlignment="1">
      <alignment horizontal="center" wrapText="1"/>
    </xf>
    <xf numFmtId="0" fontId="0" fillId="4" borderId="6" xfId="0" applyFont="1" applyFill="1" applyBorder="1" applyAlignment="1">
      <alignment horizontal="center" wrapText="1"/>
    </xf>
    <xf numFmtId="0" fontId="0" fillId="4" borderId="7" xfId="0" applyFont="1" applyFill="1" applyBorder="1" applyAlignment="1">
      <alignment horizontal="center" wrapText="1"/>
    </xf>
    <xf numFmtId="0" fontId="0" fillId="5" borderId="1" xfId="0" applyFill="1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3" fillId="10" borderId="5" xfId="0" applyFont="1" applyFill="1" applyBorder="1" applyAlignment="1">
      <alignment horizontal="center" wrapText="1"/>
    </xf>
    <xf numFmtId="0" fontId="13" fillId="10" borderId="6" xfId="0" applyFont="1" applyFill="1" applyBorder="1" applyAlignment="1">
      <alignment horizontal="center" wrapText="1"/>
    </xf>
    <xf numFmtId="0" fontId="13" fillId="10" borderId="7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600"/>
              <a:t>Actual</a:t>
            </a:r>
            <a:r>
              <a:rPr lang="en-US" sz="3600" baseline="0"/>
              <a:t> Sales VS Trend</a:t>
            </a:r>
            <a:endParaRPr lang="en-US" sz="36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1 - Trending'!$C$9</c:f>
              <c:strCache>
                <c:ptCount val="1"/>
                <c:pt idx="0">
                  <c:v>Actual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'Step 1 - Trending'!$B$16:$B$48</c:f>
              <c:strCache>
                <c:ptCount val="33"/>
                <c:pt idx="0">
                  <c:v>2016 Apr</c:v>
                </c:pt>
                <c:pt idx="1">
                  <c:v>2016 May</c:v>
                </c:pt>
                <c:pt idx="2">
                  <c:v>2016 Jun</c:v>
                </c:pt>
                <c:pt idx="3">
                  <c:v>2016 Jul</c:v>
                </c:pt>
                <c:pt idx="4">
                  <c:v>2016 Aug</c:v>
                </c:pt>
                <c:pt idx="5">
                  <c:v>2016 Sep</c:v>
                </c:pt>
                <c:pt idx="6">
                  <c:v>2016 Oct</c:v>
                </c:pt>
                <c:pt idx="7">
                  <c:v>2016 Nov</c:v>
                </c:pt>
                <c:pt idx="8">
                  <c:v>2016 Dec</c:v>
                </c:pt>
                <c:pt idx="9">
                  <c:v>2017 Jan</c:v>
                </c:pt>
                <c:pt idx="10">
                  <c:v>2017 Feb</c:v>
                </c:pt>
                <c:pt idx="11">
                  <c:v>2017 Mar</c:v>
                </c:pt>
                <c:pt idx="12">
                  <c:v>2017 Apr</c:v>
                </c:pt>
                <c:pt idx="13">
                  <c:v>2017 May</c:v>
                </c:pt>
                <c:pt idx="14">
                  <c:v>2017 Jun</c:v>
                </c:pt>
                <c:pt idx="15">
                  <c:v>2017 Jul</c:v>
                </c:pt>
                <c:pt idx="16">
                  <c:v>2017 Aug</c:v>
                </c:pt>
                <c:pt idx="17">
                  <c:v>2017 Sep</c:v>
                </c:pt>
                <c:pt idx="18">
                  <c:v>2017 Oct</c:v>
                </c:pt>
                <c:pt idx="19">
                  <c:v>2017 Nov</c:v>
                </c:pt>
                <c:pt idx="20">
                  <c:v>2017 Dec</c:v>
                </c:pt>
                <c:pt idx="21">
                  <c:v>2018 Jan</c:v>
                </c:pt>
                <c:pt idx="22">
                  <c:v>2018 Feb</c:v>
                </c:pt>
                <c:pt idx="23">
                  <c:v>2018 Mar</c:v>
                </c:pt>
                <c:pt idx="24">
                  <c:v>2018 Apr</c:v>
                </c:pt>
                <c:pt idx="25">
                  <c:v>2018 May</c:v>
                </c:pt>
                <c:pt idx="26">
                  <c:v>2018 Jun</c:v>
                </c:pt>
                <c:pt idx="27">
                  <c:v>2018 Jul</c:v>
                </c:pt>
                <c:pt idx="28">
                  <c:v>2018 Aug</c:v>
                </c:pt>
                <c:pt idx="29">
                  <c:v>2018 Sep</c:v>
                </c:pt>
                <c:pt idx="30">
                  <c:v>2018 Oct</c:v>
                </c:pt>
                <c:pt idx="31">
                  <c:v>2018 Nov</c:v>
                </c:pt>
                <c:pt idx="32">
                  <c:v>2018 Dec</c:v>
                </c:pt>
              </c:strCache>
            </c:strRef>
          </c:cat>
          <c:val>
            <c:numRef>
              <c:f>'Step 1 - Trending'!$C$10:$C$48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2740</c:v>
                </c:pt>
                <c:pt idx="24">
                  <c:v>2118</c:v>
                </c:pt>
                <c:pt idx="25">
                  <c:v>2470</c:v>
                </c:pt>
                <c:pt idx="26">
                  <c:v>3959</c:v>
                </c:pt>
                <c:pt idx="27">
                  <c:v>1800</c:v>
                </c:pt>
                <c:pt idx="28">
                  <c:v>197</c:v>
                </c:pt>
                <c:pt idx="29">
                  <c:v>1943</c:v>
                </c:pt>
                <c:pt idx="30">
                  <c:v>1667</c:v>
                </c:pt>
                <c:pt idx="31">
                  <c:v>333</c:v>
                </c:pt>
                <c:pt idx="32">
                  <c:v>3893</c:v>
                </c:pt>
                <c:pt idx="33">
                  <c:v>1576</c:v>
                </c:pt>
                <c:pt idx="34">
                  <c:v>3144</c:v>
                </c:pt>
                <c:pt idx="35">
                  <c:v>3520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F4-4B1C-94F2-57D79137C719}"/>
            </c:ext>
          </c:extLst>
        </c:ser>
        <c:ser>
          <c:idx val="1"/>
          <c:order val="1"/>
          <c:tx>
            <c:strRef>
              <c:f>'Step 1 - Trending'!$D$9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'Step 1 - Trending'!$B$16:$B$48</c:f>
              <c:strCache>
                <c:ptCount val="33"/>
                <c:pt idx="0">
                  <c:v>2016 Apr</c:v>
                </c:pt>
                <c:pt idx="1">
                  <c:v>2016 May</c:v>
                </c:pt>
                <c:pt idx="2">
                  <c:v>2016 Jun</c:v>
                </c:pt>
                <c:pt idx="3">
                  <c:v>2016 Jul</c:v>
                </c:pt>
                <c:pt idx="4">
                  <c:v>2016 Aug</c:v>
                </c:pt>
                <c:pt idx="5">
                  <c:v>2016 Sep</c:v>
                </c:pt>
                <c:pt idx="6">
                  <c:v>2016 Oct</c:v>
                </c:pt>
                <c:pt idx="7">
                  <c:v>2016 Nov</c:v>
                </c:pt>
                <c:pt idx="8">
                  <c:v>2016 Dec</c:v>
                </c:pt>
                <c:pt idx="9">
                  <c:v>2017 Jan</c:v>
                </c:pt>
                <c:pt idx="10">
                  <c:v>2017 Feb</c:v>
                </c:pt>
                <c:pt idx="11">
                  <c:v>2017 Mar</c:v>
                </c:pt>
                <c:pt idx="12">
                  <c:v>2017 Apr</c:v>
                </c:pt>
                <c:pt idx="13">
                  <c:v>2017 May</c:v>
                </c:pt>
                <c:pt idx="14">
                  <c:v>2017 Jun</c:v>
                </c:pt>
                <c:pt idx="15">
                  <c:v>2017 Jul</c:v>
                </c:pt>
                <c:pt idx="16">
                  <c:v>2017 Aug</c:v>
                </c:pt>
                <c:pt idx="17">
                  <c:v>2017 Sep</c:v>
                </c:pt>
                <c:pt idx="18">
                  <c:v>2017 Oct</c:v>
                </c:pt>
                <c:pt idx="19">
                  <c:v>2017 Nov</c:v>
                </c:pt>
                <c:pt idx="20">
                  <c:v>2017 Dec</c:v>
                </c:pt>
                <c:pt idx="21">
                  <c:v>2018 Jan</c:v>
                </c:pt>
                <c:pt idx="22">
                  <c:v>2018 Feb</c:v>
                </c:pt>
                <c:pt idx="23">
                  <c:v>2018 Mar</c:v>
                </c:pt>
                <c:pt idx="24">
                  <c:v>2018 Apr</c:v>
                </c:pt>
                <c:pt idx="25">
                  <c:v>2018 May</c:v>
                </c:pt>
                <c:pt idx="26">
                  <c:v>2018 Jun</c:v>
                </c:pt>
                <c:pt idx="27">
                  <c:v>2018 Jul</c:v>
                </c:pt>
                <c:pt idx="28">
                  <c:v>2018 Aug</c:v>
                </c:pt>
                <c:pt idx="29">
                  <c:v>2018 Sep</c:v>
                </c:pt>
                <c:pt idx="30">
                  <c:v>2018 Oct</c:v>
                </c:pt>
                <c:pt idx="31">
                  <c:v>2018 Nov</c:v>
                </c:pt>
                <c:pt idx="32">
                  <c:v>2018 Dec</c:v>
                </c:pt>
              </c:strCache>
            </c:strRef>
          </c:cat>
          <c:val>
            <c:numRef>
              <c:f>'Step 1 - Trending'!$D$10:$D$48</c:f>
              <c:numCache>
                <c:formatCode>0.0</c:formatCode>
                <c:ptCount val="39"/>
                <c:pt idx="0">
                  <c:v>-659.48571428571427</c:v>
                </c:pt>
                <c:pt idx="1">
                  <c:v>-577.26386554621854</c:v>
                </c:pt>
                <c:pt idx="2">
                  <c:v>-495.0420168067227</c:v>
                </c:pt>
                <c:pt idx="3">
                  <c:v>-412.82016806722692</c:v>
                </c:pt>
                <c:pt idx="4">
                  <c:v>-330.59831932773113</c:v>
                </c:pt>
                <c:pt idx="5">
                  <c:v>-248.37647058823529</c:v>
                </c:pt>
                <c:pt idx="6">
                  <c:v>-166.15462184873957</c:v>
                </c:pt>
                <c:pt idx="7">
                  <c:v>-83.932773109243726</c:v>
                </c:pt>
                <c:pt idx="8">
                  <c:v>-1.710924369747886</c:v>
                </c:pt>
                <c:pt idx="9">
                  <c:v>80.510924369747841</c:v>
                </c:pt>
                <c:pt idx="10">
                  <c:v>162.73277310924368</c:v>
                </c:pt>
                <c:pt idx="11">
                  <c:v>244.95462184873952</c:v>
                </c:pt>
                <c:pt idx="12">
                  <c:v>327.17647058823525</c:v>
                </c:pt>
                <c:pt idx="13">
                  <c:v>409.39831932773097</c:v>
                </c:pt>
                <c:pt idx="14">
                  <c:v>491.62016806722693</c:v>
                </c:pt>
                <c:pt idx="15">
                  <c:v>573.84201680672265</c:v>
                </c:pt>
                <c:pt idx="16">
                  <c:v>656.06386554621838</c:v>
                </c:pt>
                <c:pt idx="17">
                  <c:v>738.28571428571433</c:v>
                </c:pt>
                <c:pt idx="18">
                  <c:v>820.50756302521006</c:v>
                </c:pt>
                <c:pt idx="19">
                  <c:v>902.72941176470579</c:v>
                </c:pt>
                <c:pt idx="20">
                  <c:v>984.95126050420174</c:v>
                </c:pt>
                <c:pt idx="21">
                  <c:v>1067.1731092436976</c:v>
                </c:pt>
                <c:pt idx="22">
                  <c:v>1149.3949579831933</c:v>
                </c:pt>
                <c:pt idx="23">
                  <c:v>1231.616806722689</c:v>
                </c:pt>
                <c:pt idx="24">
                  <c:v>1313.8386554621848</c:v>
                </c:pt>
                <c:pt idx="25">
                  <c:v>1396.0605042016805</c:v>
                </c:pt>
                <c:pt idx="26">
                  <c:v>1478.2823529411762</c:v>
                </c:pt>
                <c:pt idx="27">
                  <c:v>1560.5042016806719</c:v>
                </c:pt>
                <c:pt idx="28">
                  <c:v>1642.7260504201681</c:v>
                </c:pt>
                <c:pt idx="29">
                  <c:v>1724.9478991596638</c:v>
                </c:pt>
                <c:pt idx="30">
                  <c:v>1807.1697478991596</c:v>
                </c:pt>
                <c:pt idx="31">
                  <c:v>1889.3915966386553</c:v>
                </c:pt>
                <c:pt idx="32">
                  <c:v>1971.613445378151</c:v>
                </c:pt>
                <c:pt idx="33">
                  <c:v>2053.8352941176468</c:v>
                </c:pt>
                <c:pt idx="34">
                  <c:v>2136.0571428571425</c:v>
                </c:pt>
                <c:pt idx="35">
                  <c:v>2218.2789915966387</c:v>
                </c:pt>
                <c:pt idx="36">
                  <c:v>2445.1365079365073</c:v>
                </c:pt>
                <c:pt idx="37">
                  <c:v>2533.2219648219643</c:v>
                </c:pt>
                <c:pt idx="38">
                  <c:v>2621.3074217074213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F4-4B1C-94F2-57D79137C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258888"/>
        <c:axId val="549273648"/>
      </c:lineChart>
      <c:catAx>
        <c:axId val="549258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73648"/>
        <c:crosses val="autoZero"/>
        <c:auto val="1"/>
        <c:lblAlgn val="ctr"/>
        <c:lblOffset val="100"/>
        <c:noMultiLvlLbl val="0"/>
      </c:catAx>
      <c:valAx>
        <c:axId val="54927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258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2400"/>
              <a:t>Actual Sales</a:t>
            </a:r>
            <a:r>
              <a:rPr lang="en-SG" sz="2400" baseline="0"/>
              <a:t> vs CMA</a:t>
            </a:r>
            <a:endParaRPr lang="en-SG" sz="24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3 - Final Forecasts'!$B$2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'Step 3 - Final Forecasts'!$A$3:$A$38</c:f>
              <c:strCache>
                <c:ptCount val="36"/>
                <c:pt idx="0">
                  <c:v>2015 Oct</c:v>
                </c:pt>
                <c:pt idx="1">
                  <c:v>2015 Nov</c:v>
                </c:pt>
                <c:pt idx="2">
                  <c:v>2015 Dec</c:v>
                </c:pt>
                <c:pt idx="3">
                  <c:v>2016 Jan</c:v>
                </c:pt>
                <c:pt idx="4">
                  <c:v>2016 Feb</c:v>
                </c:pt>
                <c:pt idx="5">
                  <c:v>2016 Mar</c:v>
                </c:pt>
                <c:pt idx="6">
                  <c:v>2016 Apr</c:v>
                </c:pt>
                <c:pt idx="7">
                  <c:v>2016 May</c:v>
                </c:pt>
                <c:pt idx="8">
                  <c:v>2016 Jun</c:v>
                </c:pt>
                <c:pt idx="9">
                  <c:v>2016 Jul</c:v>
                </c:pt>
                <c:pt idx="10">
                  <c:v>2016 Aug</c:v>
                </c:pt>
                <c:pt idx="11">
                  <c:v>2016 Sep</c:v>
                </c:pt>
                <c:pt idx="12">
                  <c:v>2016 Oct</c:v>
                </c:pt>
                <c:pt idx="13">
                  <c:v>2016 Nov</c:v>
                </c:pt>
                <c:pt idx="14">
                  <c:v>2016 Dec</c:v>
                </c:pt>
                <c:pt idx="15">
                  <c:v>2017 Jan</c:v>
                </c:pt>
                <c:pt idx="16">
                  <c:v>2017 Feb</c:v>
                </c:pt>
                <c:pt idx="17">
                  <c:v>2017 Mar</c:v>
                </c:pt>
                <c:pt idx="18">
                  <c:v>2017 Apr</c:v>
                </c:pt>
                <c:pt idx="19">
                  <c:v>2017 May</c:v>
                </c:pt>
                <c:pt idx="20">
                  <c:v>2017 Jun</c:v>
                </c:pt>
                <c:pt idx="21">
                  <c:v>2017 Jul</c:v>
                </c:pt>
                <c:pt idx="22">
                  <c:v>2017 Aug</c:v>
                </c:pt>
                <c:pt idx="23">
                  <c:v>2017 Sep</c:v>
                </c:pt>
                <c:pt idx="24">
                  <c:v>2017 Oct</c:v>
                </c:pt>
                <c:pt idx="25">
                  <c:v>2017 Nov</c:v>
                </c:pt>
                <c:pt idx="26">
                  <c:v>2017 Dec</c:v>
                </c:pt>
                <c:pt idx="27">
                  <c:v>2018 Jan</c:v>
                </c:pt>
                <c:pt idx="28">
                  <c:v>2018 Feb</c:v>
                </c:pt>
                <c:pt idx="29">
                  <c:v>2018 Mar</c:v>
                </c:pt>
                <c:pt idx="30">
                  <c:v>2018 Apr</c:v>
                </c:pt>
                <c:pt idx="31">
                  <c:v>2018 May</c:v>
                </c:pt>
                <c:pt idx="32">
                  <c:v>2018 Jun</c:v>
                </c:pt>
                <c:pt idx="33">
                  <c:v>2018 Jul</c:v>
                </c:pt>
                <c:pt idx="34">
                  <c:v>2018 Aug</c:v>
                </c:pt>
                <c:pt idx="35">
                  <c:v>2018 Sep</c:v>
                </c:pt>
              </c:strCache>
            </c:strRef>
          </c:cat>
          <c:val>
            <c:numRef>
              <c:f>'Step 3 - Final Forecasts'!$B$3:$B$38</c:f>
              <c:numCache>
                <c:formatCode>General</c:formatCode>
                <c:ptCount val="36"/>
                <c:pt idx="0">
                  <c:v>-659.48571428571427</c:v>
                </c:pt>
                <c:pt idx="1">
                  <c:v>-577.26386554621854</c:v>
                </c:pt>
                <c:pt idx="2">
                  <c:v>-495.0420168067227</c:v>
                </c:pt>
                <c:pt idx="3">
                  <c:v>-412.82016806722692</c:v>
                </c:pt>
                <c:pt idx="4">
                  <c:v>-330.59831932773113</c:v>
                </c:pt>
                <c:pt idx="5">
                  <c:v>-248.37647058823529</c:v>
                </c:pt>
                <c:pt idx="6">
                  <c:v>-166.15462184873957</c:v>
                </c:pt>
                <c:pt idx="7">
                  <c:v>-83.932773109243726</c:v>
                </c:pt>
                <c:pt idx="8">
                  <c:v>-1.710924369747886</c:v>
                </c:pt>
                <c:pt idx="9">
                  <c:v>80.510924369747841</c:v>
                </c:pt>
                <c:pt idx="10">
                  <c:v>162.73277310924368</c:v>
                </c:pt>
                <c:pt idx="11">
                  <c:v>244.95462184873952</c:v>
                </c:pt>
                <c:pt idx="12">
                  <c:v>327.17647058823525</c:v>
                </c:pt>
                <c:pt idx="13">
                  <c:v>409.39831932773097</c:v>
                </c:pt>
                <c:pt idx="14">
                  <c:v>491.62016806722693</c:v>
                </c:pt>
                <c:pt idx="15">
                  <c:v>573.84201680672265</c:v>
                </c:pt>
                <c:pt idx="16">
                  <c:v>656.06386554621838</c:v>
                </c:pt>
                <c:pt idx="17">
                  <c:v>738.28571428571433</c:v>
                </c:pt>
                <c:pt idx="18">
                  <c:v>820.50756302521006</c:v>
                </c:pt>
                <c:pt idx="19">
                  <c:v>902.72941176470579</c:v>
                </c:pt>
                <c:pt idx="20">
                  <c:v>984.95126050420174</c:v>
                </c:pt>
                <c:pt idx="21">
                  <c:v>1067.1731092436976</c:v>
                </c:pt>
                <c:pt idx="22">
                  <c:v>1149.3949579831933</c:v>
                </c:pt>
                <c:pt idx="23">
                  <c:v>1231.616806722689</c:v>
                </c:pt>
                <c:pt idx="24">
                  <c:v>1313.8386554621848</c:v>
                </c:pt>
                <c:pt idx="25">
                  <c:v>1396.0605042016805</c:v>
                </c:pt>
                <c:pt idx="26">
                  <c:v>1478.2823529411762</c:v>
                </c:pt>
                <c:pt idx="27">
                  <c:v>1560.5042016806719</c:v>
                </c:pt>
                <c:pt idx="28">
                  <c:v>1642.7260504201681</c:v>
                </c:pt>
                <c:pt idx="29">
                  <c:v>1724.9478991596638</c:v>
                </c:pt>
                <c:pt idx="30">
                  <c:v>1807.1697478991596</c:v>
                </c:pt>
                <c:pt idx="31">
                  <c:v>1889.3915966386553</c:v>
                </c:pt>
                <c:pt idx="32">
                  <c:v>1971.613445378151</c:v>
                </c:pt>
                <c:pt idx="33">
                  <c:v>2053.8352941176468</c:v>
                </c:pt>
                <c:pt idx="34">
                  <c:v>2136.0571428571425</c:v>
                </c:pt>
                <c:pt idx="35">
                  <c:v>2218.2789915966387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2-4E78-A54C-66A85D9DEA8D}"/>
            </c:ext>
          </c:extLst>
        </c:ser>
        <c:ser>
          <c:idx val="1"/>
          <c:order val="1"/>
          <c:tx>
            <c:strRef>
              <c:f>'Step 3 - Final Forecasts'!$E$2</c:f>
              <c:strCache>
                <c:ptCount val="1"/>
                <c:pt idx="0">
                  <c:v>Centred Moving Average 
(=(MAi-1 + MAi)/2)
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'Step 3 - Final Forecasts'!$A$3:$A$38</c:f>
              <c:strCache>
                <c:ptCount val="36"/>
                <c:pt idx="0">
                  <c:v>2015 Oct</c:v>
                </c:pt>
                <c:pt idx="1">
                  <c:v>2015 Nov</c:v>
                </c:pt>
                <c:pt idx="2">
                  <c:v>2015 Dec</c:v>
                </c:pt>
                <c:pt idx="3">
                  <c:v>2016 Jan</c:v>
                </c:pt>
                <c:pt idx="4">
                  <c:v>2016 Feb</c:v>
                </c:pt>
                <c:pt idx="5">
                  <c:v>2016 Mar</c:v>
                </c:pt>
                <c:pt idx="6">
                  <c:v>2016 Apr</c:v>
                </c:pt>
                <c:pt idx="7">
                  <c:v>2016 May</c:v>
                </c:pt>
                <c:pt idx="8">
                  <c:v>2016 Jun</c:v>
                </c:pt>
                <c:pt idx="9">
                  <c:v>2016 Jul</c:v>
                </c:pt>
                <c:pt idx="10">
                  <c:v>2016 Aug</c:v>
                </c:pt>
                <c:pt idx="11">
                  <c:v>2016 Sep</c:v>
                </c:pt>
                <c:pt idx="12">
                  <c:v>2016 Oct</c:v>
                </c:pt>
                <c:pt idx="13">
                  <c:v>2016 Nov</c:v>
                </c:pt>
                <c:pt idx="14">
                  <c:v>2016 Dec</c:v>
                </c:pt>
                <c:pt idx="15">
                  <c:v>2017 Jan</c:v>
                </c:pt>
                <c:pt idx="16">
                  <c:v>2017 Feb</c:v>
                </c:pt>
                <c:pt idx="17">
                  <c:v>2017 Mar</c:v>
                </c:pt>
                <c:pt idx="18">
                  <c:v>2017 Apr</c:v>
                </c:pt>
                <c:pt idx="19">
                  <c:v>2017 May</c:v>
                </c:pt>
                <c:pt idx="20">
                  <c:v>2017 Jun</c:v>
                </c:pt>
                <c:pt idx="21">
                  <c:v>2017 Jul</c:v>
                </c:pt>
                <c:pt idx="22">
                  <c:v>2017 Aug</c:v>
                </c:pt>
                <c:pt idx="23">
                  <c:v>2017 Sep</c:v>
                </c:pt>
                <c:pt idx="24">
                  <c:v>2017 Oct</c:v>
                </c:pt>
                <c:pt idx="25">
                  <c:v>2017 Nov</c:v>
                </c:pt>
                <c:pt idx="26">
                  <c:v>2017 Dec</c:v>
                </c:pt>
                <c:pt idx="27">
                  <c:v>2018 Jan</c:v>
                </c:pt>
                <c:pt idx="28">
                  <c:v>2018 Feb</c:v>
                </c:pt>
                <c:pt idx="29">
                  <c:v>2018 Mar</c:v>
                </c:pt>
                <c:pt idx="30">
                  <c:v>2018 Apr</c:v>
                </c:pt>
                <c:pt idx="31">
                  <c:v>2018 May</c:v>
                </c:pt>
                <c:pt idx="32">
                  <c:v>2018 Jun</c:v>
                </c:pt>
                <c:pt idx="33">
                  <c:v>2018 Jul</c:v>
                </c:pt>
                <c:pt idx="34">
                  <c:v>2018 Aug</c:v>
                </c:pt>
                <c:pt idx="35">
                  <c:v>2018 Sep</c:v>
                </c:pt>
              </c:strCache>
            </c:strRef>
          </c:cat>
          <c:val>
            <c:numRef>
              <c:f>'Step 3 - Final Forecasts'!$E$3:$E$38</c:f>
              <c:numCache>
                <c:formatCode>General</c:formatCode>
                <c:ptCount val="36"/>
                <c:pt idx="6" formatCode="0.000">
                  <c:v>-166.15462184873954</c:v>
                </c:pt>
                <c:pt idx="7" formatCode="0.000">
                  <c:v>-83.932773109243755</c:v>
                </c:pt>
                <c:pt idx="8" formatCode="0.000">
                  <c:v>-1.7109243697479215</c:v>
                </c:pt>
                <c:pt idx="9" formatCode="0.000">
                  <c:v>80.510924369747883</c:v>
                </c:pt>
                <c:pt idx="10" formatCode="0.000">
                  <c:v>162.73277310924368</c:v>
                </c:pt>
                <c:pt idx="11" formatCode="0.000">
                  <c:v>244.95462184873946</c:v>
                </c:pt>
                <c:pt idx="12" formatCode="0.000">
                  <c:v>327.1764705882353</c:v>
                </c:pt>
                <c:pt idx="13" formatCode="0.000">
                  <c:v>409.39831932773109</c:v>
                </c:pt>
                <c:pt idx="14" formatCode="0.000">
                  <c:v>491.62016806722693</c:v>
                </c:pt>
                <c:pt idx="15" formatCode="0.000">
                  <c:v>573.84201680672277</c:v>
                </c:pt>
                <c:pt idx="16" formatCode="0.000">
                  <c:v>656.06386554621849</c:v>
                </c:pt>
                <c:pt idx="17" formatCode="0.000">
                  <c:v>738.28571428571422</c:v>
                </c:pt>
                <c:pt idx="18" formatCode="0.000">
                  <c:v>820.50756302520995</c:v>
                </c:pt>
                <c:pt idx="19" formatCode="0.000">
                  <c:v>902.7294117647059</c:v>
                </c:pt>
                <c:pt idx="20" formatCode="0.000">
                  <c:v>984.95126050420163</c:v>
                </c:pt>
                <c:pt idx="21" formatCode="0.000">
                  <c:v>1067.1731092436974</c:v>
                </c:pt>
                <c:pt idx="22" formatCode="0.000">
                  <c:v>1149.3949579831933</c:v>
                </c:pt>
                <c:pt idx="23" formatCode="0.000">
                  <c:v>1231.616806722689</c:v>
                </c:pt>
                <c:pt idx="24" formatCode="0.000">
                  <c:v>1313.838655462185</c:v>
                </c:pt>
                <c:pt idx="25" formatCode="0.000">
                  <c:v>1396.0605042016807</c:v>
                </c:pt>
                <c:pt idx="26" formatCode="0.000">
                  <c:v>1478.2823529411764</c:v>
                </c:pt>
                <c:pt idx="27" formatCode="0.000">
                  <c:v>1560.5042016806722</c:v>
                </c:pt>
                <c:pt idx="28" formatCode="0.000">
                  <c:v>1642.7260504201679</c:v>
                </c:pt>
                <c:pt idx="29" formatCode="0.000">
                  <c:v>1724.9478991596636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2-4E78-A54C-66A85D9DE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265856"/>
        <c:axId val="196267392"/>
      </c:lineChart>
      <c:catAx>
        <c:axId val="19626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7392"/>
        <c:crosses val="autoZero"/>
        <c:auto val="1"/>
        <c:lblAlgn val="ctr"/>
        <c:lblOffset val="100"/>
        <c:noMultiLvlLbl val="1"/>
      </c:catAx>
      <c:valAx>
        <c:axId val="1962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400" b="0" i="0" u="none" strike="noStrike" baseline="0">
                <a:effectLst/>
              </a:rPr>
              <a:t>Cyclical and Irregular Components</a:t>
            </a:r>
            <a:endParaRPr lang="en-SG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3 - Final Forecasts'!$N$2</c:f>
              <c:strCache>
                <c:ptCount val="1"/>
                <c:pt idx="0">
                  <c:v>Cyclicity*Irregular (=Yi/Seasonalized forecasti)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'Step 3 - Final Forecasts'!$N$3:$N$38</c:f>
              <c:numCache>
                <c:formatCode>0.000</c:formatCode>
                <c:ptCount val="36"/>
                <c:pt idx="0">
                  <c:v>0.99999956676216606</c:v>
                </c:pt>
                <c:pt idx="1">
                  <c:v>0.9999980347781664</c:v>
                </c:pt>
                <c:pt idx="2">
                  <c:v>0.99999599390503124</c:v>
                </c:pt>
                <c:pt idx="3">
                  <c:v>0.99999314007995355</c:v>
                </c:pt>
                <c:pt idx="4">
                  <c:v>0.99998886675740273</c:v>
                </c:pt>
                <c:pt idx="5">
                  <c:v>0.99998176425827678</c:v>
                </c:pt>
                <c:pt idx="6">
                  <c:v>0.99996763269583189</c:v>
                </c:pt>
                <c:pt idx="7">
                  <c:v>0.99992581647677126</c:v>
                </c:pt>
                <c:pt idx="8">
                  <c:v>0.9958814724958911</c:v>
                </c:pt>
                <c:pt idx="9">
                  <c:v>1.0000984357073368</c:v>
                </c:pt>
                <c:pt idx="10">
                  <c:v>1.0000539140461364</c:v>
                </c:pt>
                <c:pt idx="11">
                  <c:v>1.000039281670331</c:v>
                </c:pt>
                <c:pt idx="12">
                  <c:v>1.000032003900879</c:v>
                </c:pt>
                <c:pt idx="13">
                  <c:v>1.0000276494557243</c:v>
                </c:pt>
                <c:pt idx="14">
                  <c:v>1.0000247515647149</c:v>
                </c:pt>
                <c:pt idx="15">
                  <c:v>1.0000226841214408</c:v>
                </c:pt>
                <c:pt idx="16">
                  <c:v>1.0000211348924894</c:v>
                </c:pt>
                <c:pt idx="17">
                  <c:v>1.0000199307377826</c:v>
                </c:pt>
                <c:pt idx="18">
                  <c:v>1.0000189679182845</c:v>
                </c:pt>
                <c:pt idx="19">
                  <c:v>1.0000181804900397</c:v>
                </c:pt>
                <c:pt idx="20">
                  <c:v>1.0000175245287612</c:v>
                </c:pt>
                <c:pt idx="21">
                  <c:v>1.0000169696470491</c:v>
                </c:pt>
                <c:pt idx="22">
                  <c:v>1.0000164941526464</c:v>
                </c:pt>
                <c:pt idx="23">
                  <c:v>1.0000160821459354</c:v>
                </c:pt>
                <c:pt idx="24">
                  <c:v>1.0000157217074082</c:v>
                </c:pt>
                <c:pt idx="25">
                  <c:v>1.0000154037255975</c:v>
                </c:pt>
                <c:pt idx="26">
                  <c:v>1.0000151211161599</c:v>
                </c:pt>
                <c:pt idx="27">
                  <c:v>1.000014868287836</c:v>
                </c:pt>
                <c:pt idx="28">
                  <c:v>1.0000146407687862</c:v>
                </c:pt>
                <c:pt idx="29">
                  <c:v>1.0000144349397984</c:v>
                </c:pt>
                <c:pt idx="30">
                  <c:v>1.0000142478403256</c:v>
                </c:pt>
                <c:pt idx="31">
                  <c:v>1.0000140770251664</c:v>
                </c:pt>
                <c:pt idx="32">
                  <c:v>1.0000139204570175</c:v>
                </c:pt>
                <c:pt idx="33">
                  <c:v>1.0000137764247785</c:v>
                </c:pt>
                <c:pt idx="34">
                  <c:v>1.0000136434808629</c:v>
                </c:pt>
                <c:pt idx="35">
                  <c:v>1.0000135203922718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C8-4559-B9E7-CA0925296A01}"/>
            </c:ext>
          </c:extLst>
        </c:ser>
        <c:ser>
          <c:idx val="1"/>
          <c:order val="1"/>
          <c:tx>
            <c:strRef>
              <c:f>'Step 3 - Final Forecasts'!$P$2</c:f>
              <c:strCache>
                <c:ptCount val="1"/>
                <c:pt idx="0">
                  <c:v>Irregular Variations (=Cyclicity*Irregulari/Cyclicityi)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'Step 3 - Final Forecasts'!$P$3:$P$38</c:f>
              <c:numCache>
                <c:formatCode>0.000</c:formatCode>
                <c:ptCount val="36"/>
                <c:pt idx="1">
                  <c:v>1.000000169630074</c:v>
                </c:pt>
                <c:pt idx="2">
                  <c:v>1.0000002709851399</c:v>
                </c:pt>
                <c:pt idx="3">
                  <c:v>1.0000004731692942</c:v>
                </c:pt>
                <c:pt idx="4">
                  <c:v>1.0000009430702472</c:v>
                </c:pt>
                <c:pt idx="5">
                  <c:v>1.0000023430693237</c:v>
                </c:pt>
                <c:pt idx="6">
                  <c:v>1.0000092286027404</c:v>
                </c:pt>
                <c:pt idx="7">
                  <c:v>1.0013360575699026</c:v>
                </c:pt>
                <c:pt idx="8">
                  <c:v>0.99724246757023427</c:v>
                </c:pt>
                <c:pt idx="9">
                  <c:v>1.0014223754221327</c:v>
                </c:pt>
                <c:pt idx="10">
                  <c:v>0.99999003754124183</c:v>
                </c:pt>
                <c:pt idx="11">
                  <c:v>0.99999754856685508</c:v>
                </c:pt>
                <c:pt idx="12">
                  <c:v>0.99999902559070197</c:v>
                </c:pt>
                <c:pt idx="13">
                  <c:v>0.9999995144956112</c:v>
                </c:pt>
                <c:pt idx="14">
                  <c:v>0.99999972319101638</c:v>
                </c:pt>
                <c:pt idx="15">
                  <c:v>0.99999982726584058</c:v>
                </c:pt>
                <c:pt idx="16">
                  <c:v>0.9999998849776961</c:v>
                </c:pt>
                <c:pt idx="17">
                  <c:v>0.99999991955654011</c:v>
                </c:pt>
                <c:pt idx="18">
                  <c:v>0.99999994153736138</c:v>
                </c:pt>
                <c:pt idx="19">
                  <c:v>0.99999995617847659</c:v>
                </c:pt>
                <c:pt idx="20">
                  <c:v>0.99999996630740262</c:v>
                </c:pt>
                <c:pt idx="21">
                  <c:v>0.99999997353801329</c:v>
                </c:pt>
                <c:pt idx="22">
                  <c:v>0.99999997883778557</c:v>
                </c:pt>
                <c:pt idx="23">
                  <c:v>0.9999999828108822</c:v>
                </c:pt>
                <c:pt idx="24">
                  <c:v>0.99999998584798377</c:v>
                </c:pt>
                <c:pt idx="25">
                  <c:v>0.99999998820939073</c:v>
                </c:pt>
                <c:pt idx="26">
                  <c:v>0.99999999007311235</c:v>
                </c:pt>
                <c:pt idx="27">
                  <c:v>0.99999999156370079</c:v>
                </c:pt>
                <c:pt idx="28">
                  <c:v>0.99999999277008533</c:v>
                </c:pt>
                <c:pt idx="29">
                  <c:v>0.99999999375691839</c:v>
                </c:pt>
                <c:pt idx="30">
                  <c:v>0.99999999457197275</c:v>
                </c:pt>
                <c:pt idx="31">
                  <c:v>0.99999999525106342</c:v>
                </c:pt>
                <c:pt idx="32">
                  <c:v>0.99999999582142141</c:v>
                </c:pt>
                <c:pt idx="33">
                  <c:v>0.9999999963039431</c:v>
                </c:pt>
                <c:pt idx="34">
                  <c:v>0.99999999671493689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C8-4559-B9E7-CA0925296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59680"/>
        <c:axId val="196361216"/>
      </c:lineChart>
      <c:catAx>
        <c:axId val="19635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61216"/>
        <c:crosses val="autoZero"/>
        <c:auto val="1"/>
        <c:lblAlgn val="ctr"/>
        <c:lblOffset val="100"/>
        <c:noMultiLvlLbl val="0"/>
      </c:catAx>
      <c:valAx>
        <c:axId val="1963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3 - Final Forecasts'!$H$2</c:f>
              <c:strCache>
                <c:ptCount val="1"/>
                <c:pt idx="0">
                  <c:v>Deseasonalized Value 
(= Yi / Seasonal Indexi)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906627296587927"/>
                  <c:y val="4.43019101778944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'Step 3 - Final Forecasts'!$H$3:$H$38</c:f>
              <c:numCache>
                <c:formatCode>0.000</c:formatCode>
                <c:ptCount val="36"/>
                <c:pt idx="0">
                  <c:v>-659.48571428571381</c:v>
                </c:pt>
                <c:pt idx="1">
                  <c:v>-577.2638655462182</c:v>
                </c:pt>
                <c:pt idx="2">
                  <c:v>-495.04201680672224</c:v>
                </c:pt>
                <c:pt idx="3">
                  <c:v>-412.82016806722663</c:v>
                </c:pt>
                <c:pt idx="4">
                  <c:v>-330.59831932773085</c:v>
                </c:pt>
                <c:pt idx="5">
                  <c:v>-248.37647058823501</c:v>
                </c:pt>
                <c:pt idx="6">
                  <c:v>-166.1546218487394</c:v>
                </c:pt>
                <c:pt idx="7">
                  <c:v>-83.932773109243669</c:v>
                </c:pt>
                <c:pt idx="8">
                  <c:v>-1.710924369747902</c:v>
                </c:pt>
                <c:pt idx="9">
                  <c:v>80.510924369747784</c:v>
                </c:pt>
                <c:pt idx="10">
                  <c:v>162.73277310924354</c:v>
                </c:pt>
                <c:pt idx="11">
                  <c:v>244.95462184873929</c:v>
                </c:pt>
                <c:pt idx="12">
                  <c:v>327.17647058823502</c:v>
                </c:pt>
                <c:pt idx="13">
                  <c:v>409.39831932773069</c:v>
                </c:pt>
                <c:pt idx="14">
                  <c:v>491.62016806722647</c:v>
                </c:pt>
                <c:pt idx="15">
                  <c:v>573.84201680672231</c:v>
                </c:pt>
                <c:pt idx="16">
                  <c:v>656.06386554621781</c:v>
                </c:pt>
                <c:pt idx="17">
                  <c:v>738.28571428571354</c:v>
                </c:pt>
                <c:pt idx="18">
                  <c:v>820.50756302520915</c:v>
                </c:pt>
                <c:pt idx="19">
                  <c:v>902.72941176470522</c:v>
                </c:pt>
                <c:pt idx="20">
                  <c:v>984.95126050421095</c:v>
                </c:pt>
                <c:pt idx="21">
                  <c:v>1067.1731092436969</c:v>
                </c:pt>
                <c:pt idx="22">
                  <c:v>1149.3949579831924</c:v>
                </c:pt>
                <c:pt idx="23">
                  <c:v>1231.6168067226879</c:v>
                </c:pt>
                <c:pt idx="24">
                  <c:v>1313.8386554621839</c:v>
                </c:pt>
                <c:pt idx="25">
                  <c:v>1396.0605042016796</c:v>
                </c:pt>
                <c:pt idx="26">
                  <c:v>1478.2823529411748</c:v>
                </c:pt>
                <c:pt idx="27">
                  <c:v>1560.5042016806708</c:v>
                </c:pt>
                <c:pt idx="28">
                  <c:v>1642.7260504201668</c:v>
                </c:pt>
                <c:pt idx="29">
                  <c:v>1724.947899159662</c:v>
                </c:pt>
                <c:pt idx="30">
                  <c:v>1807.1697478991575</c:v>
                </c:pt>
                <c:pt idx="31">
                  <c:v>1889.3915966386539</c:v>
                </c:pt>
                <c:pt idx="32">
                  <c:v>1971.6134453781694</c:v>
                </c:pt>
                <c:pt idx="33">
                  <c:v>2053.8352941176454</c:v>
                </c:pt>
                <c:pt idx="34">
                  <c:v>2136.0571428571407</c:v>
                </c:pt>
                <c:pt idx="35">
                  <c:v>2218.2789915966368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FA-4CEC-9282-9D48DB1D5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81312"/>
        <c:axId val="196403584"/>
      </c:lineChart>
      <c:catAx>
        <c:axId val="19638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03584"/>
        <c:crosses val="autoZero"/>
        <c:auto val="1"/>
        <c:lblAlgn val="ctr"/>
        <c:lblOffset val="100"/>
        <c:noMultiLvlLbl val="0"/>
      </c:catAx>
      <c:valAx>
        <c:axId val="19640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2400"/>
              <a:t>Actual Sales</a:t>
            </a:r>
            <a:r>
              <a:rPr lang="en-SG" sz="2400" baseline="0"/>
              <a:t> vs CMA</a:t>
            </a:r>
            <a:endParaRPr lang="en-SG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3 - Final Forecasts'!$B$2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'Step 3 - Final Forecasts'!$A$3:$A$38</c:f>
              <c:strCache>
                <c:ptCount val="36"/>
                <c:pt idx="0">
                  <c:v>2015 Oct</c:v>
                </c:pt>
                <c:pt idx="1">
                  <c:v>2015 Nov</c:v>
                </c:pt>
                <c:pt idx="2">
                  <c:v>2015 Dec</c:v>
                </c:pt>
                <c:pt idx="3">
                  <c:v>2016 Jan</c:v>
                </c:pt>
                <c:pt idx="4">
                  <c:v>2016 Feb</c:v>
                </c:pt>
                <c:pt idx="5">
                  <c:v>2016 Mar</c:v>
                </c:pt>
                <c:pt idx="6">
                  <c:v>2016 Apr</c:v>
                </c:pt>
                <c:pt idx="7">
                  <c:v>2016 May</c:v>
                </c:pt>
                <c:pt idx="8">
                  <c:v>2016 Jun</c:v>
                </c:pt>
                <c:pt idx="9">
                  <c:v>2016 Jul</c:v>
                </c:pt>
                <c:pt idx="10">
                  <c:v>2016 Aug</c:v>
                </c:pt>
                <c:pt idx="11">
                  <c:v>2016 Sep</c:v>
                </c:pt>
                <c:pt idx="12">
                  <c:v>2016 Oct</c:v>
                </c:pt>
                <c:pt idx="13">
                  <c:v>2016 Nov</c:v>
                </c:pt>
                <c:pt idx="14">
                  <c:v>2016 Dec</c:v>
                </c:pt>
                <c:pt idx="15">
                  <c:v>2017 Jan</c:v>
                </c:pt>
                <c:pt idx="16">
                  <c:v>2017 Feb</c:v>
                </c:pt>
                <c:pt idx="17">
                  <c:v>2017 Mar</c:v>
                </c:pt>
                <c:pt idx="18">
                  <c:v>2017 Apr</c:v>
                </c:pt>
                <c:pt idx="19">
                  <c:v>2017 May</c:v>
                </c:pt>
                <c:pt idx="20">
                  <c:v>2017 Jun</c:v>
                </c:pt>
                <c:pt idx="21">
                  <c:v>2017 Jul</c:v>
                </c:pt>
                <c:pt idx="22">
                  <c:v>2017 Aug</c:v>
                </c:pt>
                <c:pt idx="23">
                  <c:v>2017 Sep</c:v>
                </c:pt>
                <c:pt idx="24">
                  <c:v>2017 Oct</c:v>
                </c:pt>
                <c:pt idx="25">
                  <c:v>2017 Nov</c:v>
                </c:pt>
                <c:pt idx="26">
                  <c:v>2017 Dec</c:v>
                </c:pt>
                <c:pt idx="27">
                  <c:v>2018 Jan</c:v>
                </c:pt>
                <c:pt idx="28">
                  <c:v>2018 Feb</c:v>
                </c:pt>
                <c:pt idx="29">
                  <c:v>2018 Mar</c:v>
                </c:pt>
                <c:pt idx="30">
                  <c:v>2018 Apr</c:v>
                </c:pt>
                <c:pt idx="31">
                  <c:v>2018 May</c:v>
                </c:pt>
                <c:pt idx="32">
                  <c:v>2018 Jun</c:v>
                </c:pt>
                <c:pt idx="33">
                  <c:v>2018 Jul</c:v>
                </c:pt>
                <c:pt idx="34">
                  <c:v>2018 Aug</c:v>
                </c:pt>
                <c:pt idx="35">
                  <c:v>2018 Sep</c:v>
                </c:pt>
              </c:strCache>
            </c:strRef>
          </c:cat>
          <c:val>
            <c:numRef>
              <c:f>'Step 3 - Final Forecasts'!$B$3:$B$38</c:f>
              <c:numCache>
                <c:formatCode>General</c:formatCode>
                <c:ptCount val="36"/>
                <c:pt idx="0">
                  <c:v>-659.48571428571427</c:v>
                </c:pt>
                <c:pt idx="1">
                  <c:v>-577.26386554621854</c:v>
                </c:pt>
                <c:pt idx="2">
                  <c:v>-495.0420168067227</c:v>
                </c:pt>
                <c:pt idx="3">
                  <c:v>-412.82016806722692</c:v>
                </c:pt>
                <c:pt idx="4">
                  <c:v>-330.59831932773113</c:v>
                </c:pt>
                <c:pt idx="5">
                  <c:v>-248.37647058823529</c:v>
                </c:pt>
                <c:pt idx="6">
                  <c:v>-166.15462184873957</c:v>
                </c:pt>
                <c:pt idx="7">
                  <c:v>-83.932773109243726</c:v>
                </c:pt>
                <c:pt idx="8">
                  <c:v>-1.710924369747886</c:v>
                </c:pt>
                <c:pt idx="9">
                  <c:v>80.510924369747841</c:v>
                </c:pt>
                <c:pt idx="10">
                  <c:v>162.73277310924368</c:v>
                </c:pt>
                <c:pt idx="11">
                  <c:v>244.95462184873952</c:v>
                </c:pt>
                <c:pt idx="12">
                  <c:v>327.17647058823525</c:v>
                </c:pt>
                <c:pt idx="13">
                  <c:v>409.39831932773097</c:v>
                </c:pt>
                <c:pt idx="14">
                  <c:v>491.62016806722693</c:v>
                </c:pt>
                <c:pt idx="15">
                  <c:v>573.84201680672265</c:v>
                </c:pt>
                <c:pt idx="16">
                  <c:v>656.06386554621838</c:v>
                </c:pt>
                <c:pt idx="17">
                  <c:v>738.28571428571433</c:v>
                </c:pt>
                <c:pt idx="18">
                  <c:v>820.50756302521006</c:v>
                </c:pt>
                <c:pt idx="19">
                  <c:v>902.72941176470579</c:v>
                </c:pt>
                <c:pt idx="20">
                  <c:v>984.95126050420174</c:v>
                </c:pt>
                <c:pt idx="21">
                  <c:v>1067.1731092436976</c:v>
                </c:pt>
                <c:pt idx="22">
                  <c:v>1149.3949579831933</c:v>
                </c:pt>
                <c:pt idx="23">
                  <c:v>1231.616806722689</c:v>
                </c:pt>
                <c:pt idx="24">
                  <c:v>1313.8386554621848</c:v>
                </c:pt>
                <c:pt idx="25">
                  <c:v>1396.0605042016805</c:v>
                </c:pt>
                <c:pt idx="26">
                  <c:v>1478.2823529411762</c:v>
                </c:pt>
                <c:pt idx="27">
                  <c:v>1560.5042016806719</c:v>
                </c:pt>
                <c:pt idx="28">
                  <c:v>1642.7260504201681</c:v>
                </c:pt>
                <c:pt idx="29">
                  <c:v>1724.9478991596638</c:v>
                </c:pt>
                <c:pt idx="30">
                  <c:v>1807.1697478991596</c:v>
                </c:pt>
                <c:pt idx="31">
                  <c:v>1889.3915966386553</c:v>
                </c:pt>
                <c:pt idx="32">
                  <c:v>1971.613445378151</c:v>
                </c:pt>
                <c:pt idx="33">
                  <c:v>2053.8352941176468</c:v>
                </c:pt>
                <c:pt idx="34">
                  <c:v>2136.0571428571425</c:v>
                </c:pt>
                <c:pt idx="35">
                  <c:v>2218.2789915966387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F3-49EF-AE32-AA17BB602C80}"/>
            </c:ext>
          </c:extLst>
        </c:ser>
        <c:ser>
          <c:idx val="1"/>
          <c:order val="1"/>
          <c:tx>
            <c:strRef>
              <c:f>'Step 3 - Final Forecasts'!$E$2</c:f>
              <c:strCache>
                <c:ptCount val="1"/>
                <c:pt idx="0">
                  <c:v>Centred Moving Average 
(=(MAi-1 + MAi)/2)
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'Step 3 - Final Forecasts'!$A$3:$A$38</c:f>
              <c:strCache>
                <c:ptCount val="36"/>
                <c:pt idx="0">
                  <c:v>2015 Oct</c:v>
                </c:pt>
                <c:pt idx="1">
                  <c:v>2015 Nov</c:v>
                </c:pt>
                <c:pt idx="2">
                  <c:v>2015 Dec</c:v>
                </c:pt>
                <c:pt idx="3">
                  <c:v>2016 Jan</c:v>
                </c:pt>
                <c:pt idx="4">
                  <c:v>2016 Feb</c:v>
                </c:pt>
                <c:pt idx="5">
                  <c:v>2016 Mar</c:v>
                </c:pt>
                <c:pt idx="6">
                  <c:v>2016 Apr</c:v>
                </c:pt>
                <c:pt idx="7">
                  <c:v>2016 May</c:v>
                </c:pt>
                <c:pt idx="8">
                  <c:v>2016 Jun</c:v>
                </c:pt>
                <c:pt idx="9">
                  <c:v>2016 Jul</c:v>
                </c:pt>
                <c:pt idx="10">
                  <c:v>2016 Aug</c:v>
                </c:pt>
                <c:pt idx="11">
                  <c:v>2016 Sep</c:v>
                </c:pt>
                <c:pt idx="12">
                  <c:v>2016 Oct</c:v>
                </c:pt>
                <c:pt idx="13">
                  <c:v>2016 Nov</c:v>
                </c:pt>
                <c:pt idx="14">
                  <c:v>2016 Dec</c:v>
                </c:pt>
                <c:pt idx="15">
                  <c:v>2017 Jan</c:v>
                </c:pt>
                <c:pt idx="16">
                  <c:v>2017 Feb</c:v>
                </c:pt>
                <c:pt idx="17">
                  <c:v>2017 Mar</c:v>
                </c:pt>
                <c:pt idx="18">
                  <c:v>2017 Apr</c:v>
                </c:pt>
                <c:pt idx="19">
                  <c:v>2017 May</c:v>
                </c:pt>
                <c:pt idx="20">
                  <c:v>2017 Jun</c:v>
                </c:pt>
                <c:pt idx="21">
                  <c:v>2017 Jul</c:v>
                </c:pt>
                <c:pt idx="22">
                  <c:v>2017 Aug</c:v>
                </c:pt>
                <c:pt idx="23">
                  <c:v>2017 Sep</c:v>
                </c:pt>
                <c:pt idx="24">
                  <c:v>2017 Oct</c:v>
                </c:pt>
                <c:pt idx="25">
                  <c:v>2017 Nov</c:v>
                </c:pt>
                <c:pt idx="26">
                  <c:v>2017 Dec</c:v>
                </c:pt>
                <c:pt idx="27">
                  <c:v>2018 Jan</c:v>
                </c:pt>
                <c:pt idx="28">
                  <c:v>2018 Feb</c:v>
                </c:pt>
                <c:pt idx="29">
                  <c:v>2018 Mar</c:v>
                </c:pt>
                <c:pt idx="30">
                  <c:v>2018 Apr</c:v>
                </c:pt>
                <c:pt idx="31">
                  <c:v>2018 May</c:v>
                </c:pt>
                <c:pt idx="32">
                  <c:v>2018 Jun</c:v>
                </c:pt>
                <c:pt idx="33">
                  <c:v>2018 Jul</c:v>
                </c:pt>
                <c:pt idx="34">
                  <c:v>2018 Aug</c:v>
                </c:pt>
                <c:pt idx="35">
                  <c:v>2018 Sep</c:v>
                </c:pt>
              </c:strCache>
            </c:strRef>
          </c:cat>
          <c:val>
            <c:numRef>
              <c:f>'Step 3 - Final Forecasts'!$E$3:$E$38</c:f>
              <c:numCache>
                <c:formatCode>General</c:formatCode>
                <c:ptCount val="36"/>
                <c:pt idx="6" formatCode="0.000">
                  <c:v>-166.15462184873954</c:v>
                </c:pt>
                <c:pt idx="7" formatCode="0.000">
                  <c:v>-83.932773109243755</c:v>
                </c:pt>
                <c:pt idx="8" formatCode="0.000">
                  <c:v>-1.7109243697479215</c:v>
                </c:pt>
                <c:pt idx="9" formatCode="0.000">
                  <c:v>80.510924369747883</c:v>
                </c:pt>
                <c:pt idx="10" formatCode="0.000">
                  <c:v>162.73277310924368</c:v>
                </c:pt>
                <c:pt idx="11" formatCode="0.000">
                  <c:v>244.95462184873946</c:v>
                </c:pt>
                <c:pt idx="12" formatCode="0.000">
                  <c:v>327.1764705882353</c:v>
                </c:pt>
                <c:pt idx="13" formatCode="0.000">
                  <c:v>409.39831932773109</c:v>
                </c:pt>
                <c:pt idx="14" formatCode="0.000">
                  <c:v>491.62016806722693</c:v>
                </c:pt>
                <c:pt idx="15" formatCode="0.000">
                  <c:v>573.84201680672277</c:v>
                </c:pt>
                <c:pt idx="16" formatCode="0.000">
                  <c:v>656.06386554621849</c:v>
                </c:pt>
                <c:pt idx="17" formatCode="0.000">
                  <c:v>738.28571428571422</c:v>
                </c:pt>
                <c:pt idx="18" formatCode="0.000">
                  <c:v>820.50756302520995</c:v>
                </c:pt>
                <c:pt idx="19" formatCode="0.000">
                  <c:v>902.7294117647059</c:v>
                </c:pt>
                <c:pt idx="20" formatCode="0.000">
                  <c:v>984.95126050420163</c:v>
                </c:pt>
                <c:pt idx="21" formatCode="0.000">
                  <c:v>1067.1731092436974</c:v>
                </c:pt>
                <c:pt idx="22" formatCode="0.000">
                  <c:v>1149.3949579831933</c:v>
                </c:pt>
                <c:pt idx="23" formatCode="0.000">
                  <c:v>1231.616806722689</c:v>
                </c:pt>
                <c:pt idx="24" formatCode="0.000">
                  <c:v>1313.838655462185</c:v>
                </c:pt>
                <c:pt idx="25" formatCode="0.000">
                  <c:v>1396.0605042016807</c:v>
                </c:pt>
                <c:pt idx="26" formatCode="0.000">
                  <c:v>1478.2823529411764</c:v>
                </c:pt>
                <c:pt idx="27" formatCode="0.000">
                  <c:v>1560.5042016806722</c:v>
                </c:pt>
                <c:pt idx="28" formatCode="0.000">
                  <c:v>1642.7260504201679</c:v>
                </c:pt>
                <c:pt idx="29" formatCode="0.000">
                  <c:v>1724.9478991596636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F3-49EF-AE32-AA17BB602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265856"/>
        <c:axId val="196267392"/>
      </c:lineChart>
      <c:catAx>
        <c:axId val="19626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7392"/>
        <c:crosses val="autoZero"/>
        <c:auto val="1"/>
        <c:lblAlgn val="ctr"/>
        <c:lblOffset val="100"/>
        <c:noMultiLvlLbl val="1"/>
      </c:catAx>
      <c:valAx>
        <c:axId val="1962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6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400" b="0" i="0" u="none" strike="noStrike" baseline="0">
                <a:effectLst/>
              </a:rPr>
              <a:t>Cyclical and Irregular Components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3 - Final Forecasts'!$N$2</c:f>
              <c:strCache>
                <c:ptCount val="1"/>
                <c:pt idx="0">
                  <c:v>Cyclicity*Irregular (=Yi/Seasonalized forecasti)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'Step 3 - Final Forecasts'!$N$3:$N$38</c:f>
              <c:numCache>
                <c:formatCode>0.000</c:formatCode>
                <c:ptCount val="36"/>
                <c:pt idx="0">
                  <c:v>0.99999956676216606</c:v>
                </c:pt>
                <c:pt idx="1">
                  <c:v>0.9999980347781664</c:v>
                </c:pt>
                <c:pt idx="2">
                  <c:v>0.99999599390503124</c:v>
                </c:pt>
                <c:pt idx="3">
                  <c:v>0.99999314007995355</c:v>
                </c:pt>
                <c:pt idx="4">
                  <c:v>0.99998886675740273</c:v>
                </c:pt>
                <c:pt idx="5">
                  <c:v>0.99998176425827678</c:v>
                </c:pt>
                <c:pt idx="6">
                  <c:v>0.99996763269583189</c:v>
                </c:pt>
                <c:pt idx="7">
                  <c:v>0.99992581647677126</c:v>
                </c:pt>
                <c:pt idx="8">
                  <c:v>0.9958814724958911</c:v>
                </c:pt>
                <c:pt idx="9">
                  <c:v>1.0000984357073368</c:v>
                </c:pt>
                <c:pt idx="10">
                  <c:v>1.0000539140461364</c:v>
                </c:pt>
                <c:pt idx="11">
                  <c:v>1.000039281670331</c:v>
                </c:pt>
                <c:pt idx="12">
                  <c:v>1.000032003900879</c:v>
                </c:pt>
                <c:pt idx="13">
                  <c:v>1.0000276494557243</c:v>
                </c:pt>
                <c:pt idx="14">
                  <c:v>1.0000247515647149</c:v>
                </c:pt>
                <c:pt idx="15">
                  <c:v>1.0000226841214408</c:v>
                </c:pt>
                <c:pt idx="16">
                  <c:v>1.0000211348924894</c:v>
                </c:pt>
                <c:pt idx="17">
                  <c:v>1.0000199307377826</c:v>
                </c:pt>
                <c:pt idx="18">
                  <c:v>1.0000189679182845</c:v>
                </c:pt>
                <c:pt idx="19">
                  <c:v>1.0000181804900397</c:v>
                </c:pt>
                <c:pt idx="20">
                  <c:v>1.0000175245287612</c:v>
                </c:pt>
                <c:pt idx="21">
                  <c:v>1.0000169696470491</c:v>
                </c:pt>
                <c:pt idx="22">
                  <c:v>1.0000164941526464</c:v>
                </c:pt>
                <c:pt idx="23">
                  <c:v>1.0000160821459354</c:v>
                </c:pt>
                <c:pt idx="24">
                  <c:v>1.0000157217074082</c:v>
                </c:pt>
                <c:pt idx="25">
                  <c:v>1.0000154037255975</c:v>
                </c:pt>
                <c:pt idx="26">
                  <c:v>1.0000151211161599</c:v>
                </c:pt>
                <c:pt idx="27">
                  <c:v>1.000014868287836</c:v>
                </c:pt>
                <c:pt idx="28">
                  <c:v>1.0000146407687862</c:v>
                </c:pt>
                <c:pt idx="29">
                  <c:v>1.0000144349397984</c:v>
                </c:pt>
                <c:pt idx="30">
                  <c:v>1.0000142478403256</c:v>
                </c:pt>
                <c:pt idx="31">
                  <c:v>1.0000140770251664</c:v>
                </c:pt>
                <c:pt idx="32">
                  <c:v>1.0000139204570175</c:v>
                </c:pt>
                <c:pt idx="33">
                  <c:v>1.0000137764247785</c:v>
                </c:pt>
                <c:pt idx="34">
                  <c:v>1.0000136434808629</c:v>
                </c:pt>
                <c:pt idx="35">
                  <c:v>1.0000135203922718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A6-4BB9-90C3-5B886EEF60F2}"/>
            </c:ext>
          </c:extLst>
        </c:ser>
        <c:ser>
          <c:idx val="1"/>
          <c:order val="1"/>
          <c:tx>
            <c:strRef>
              <c:f>'Step 3 - Final Forecasts'!$P$2</c:f>
              <c:strCache>
                <c:ptCount val="1"/>
                <c:pt idx="0">
                  <c:v>Irregular Variations (=Cyclicity*Irregulari/Cyclicityi)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'Step 3 - Final Forecasts'!$P$3:$P$38</c:f>
              <c:numCache>
                <c:formatCode>0.000</c:formatCode>
                <c:ptCount val="36"/>
                <c:pt idx="1">
                  <c:v>1.000000169630074</c:v>
                </c:pt>
                <c:pt idx="2">
                  <c:v>1.0000002709851399</c:v>
                </c:pt>
                <c:pt idx="3">
                  <c:v>1.0000004731692942</c:v>
                </c:pt>
                <c:pt idx="4">
                  <c:v>1.0000009430702472</c:v>
                </c:pt>
                <c:pt idx="5">
                  <c:v>1.0000023430693237</c:v>
                </c:pt>
                <c:pt idx="6">
                  <c:v>1.0000092286027404</c:v>
                </c:pt>
                <c:pt idx="7">
                  <c:v>1.0013360575699026</c:v>
                </c:pt>
                <c:pt idx="8">
                  <c:v>0.99724246757023427</c:v>
                </c:pt>
                <c:pt idx="9">
                  <c:v>1.0014223754221327</c:v>
                </c:pt>
                <c:pt idx="10">
                  <c:v>0.99999003754124183</c:v>
                </c:pt>
                <c:pt idx="11">
                  <c:v>0.99999754856685508</c:v>
                </c:pt>
                <c:pt idx="12">
                  <c:v>0.99999902559070197</c:v>
                </c:pt>
                <c:pt idx="13">
                  <c:v>0.9999995144956112</c:v>
                </c:pt>
                <c:pt idx="14">
                  <c:v>0.99999972319101638</c:v>
                </c:pt>
                <c:pt idx="15">
                  <c:v>0.99999982726584058</c:v>
                </c:pt>
                <c:pt idx="16">
                  <c:v>0.9999998849776961</c:v>
                </c:pt>
                <c:pt idx="17">
                  <c:v>0.99999991955654011</c:v>
                </c:pt>
                <c:pt idx="18">
                  <c:v>0.99999994153736138</c:v>
                </c:pt>
                <c:pt idx="19">
                  <c:v>0.99999995617847659</c:v>
                </c:pt>
                <c:pt idx="20">
                  <c:v>0.99999996630740262</c:v>
                </c:pt>
                <c:pt idx="21">
                  <c:v>0.99999997353801329</c:v>
                </c:pt>
                <c:pt idx="22">
                  <c:v>0.99999997883778557</c:v>
                </c:pt>
                <c:pt idx="23">
                  <c:v>0.9999999828108822</c:v>
                </c:pt>
                <c:pt idx="24">
                  <c:v>0.99999998584798377</c:v>
                </c:pt>
                <c:pt idx="25">
                  <c:v>0.99999998820939073</c:v>
                </c:pt>
                <c:pt idx="26">
                  <c:v>0.99999999007311235</c:v>
                </c:pt>
                <c:pt idx="27">
                  <c:v>0.99999999156370079</c:v>
                </c:pt>
                <c:pt idx="28">
                  <c:v>0.99999999277008533</c:v>
                </c:pt>
                <c:pt idx="29">
                  <c:v>0.99999999375691839</c:v>
                </c:pt>
                <c:pt idx="30">
                  <c:v>0.99999999457197275</c:v>
                </c:pt>
                <c:pt idx="31">
                  <c:v>0.99999999525106342</c:v>
                </c:pt>
                <c:pt idx="32">
                  <c:v>0.99999999582142141</c:v>
                </c:pt>
                <c:pt idx="33">
                  <c:v>0.9999999963039431</c:v>
                </c:pt>
                <c:pt idx="34">
                  <c:v>0.99999999671493689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A6-4BB9-90C3-5B886EEF6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59680"/>
        <c:axId val="196361216"/>
      </c:lineChart>
      <c:catAx>
        <c:axId val="19635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61216"/>
        <c:crosses val="autoZero"/>
        <c:auto val="1"/>
        <c:lblAlgn val="ctr"/>
        <c:lblOffset val="100"/>
        <c:noMultiLvlLbl val="0"/>
      </c:catAx>
      <c:valAx>
        <c:axId val="1963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5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'Step 3 - Final Forecasts'!$H$2</c:f>
              <c:strCache>
                <c:ptCount val="1"/>
                <c:pt idx="0">
                  <c:v>Deseasonalized Value 
(= Yi / Seasonal Indexi)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1906627296587927"/>
                  <c:y val="4.43019101778944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'Step 3 - Final Forecasts'!$H$3:$H$38</c:f>
              <c:numCache>
                <c:formatCode>0.000</c:formatCode>
                <c:ptCount val="36"/>
                <c:pt idx="0">
                  <c:v>-659.48571428571381</c:v>
                </c:pt>
                <c:pt idx="1">
                  <c:v>-577.2638655462182</c:v>
                </c:pt>
                <c:pt idx="2">
                  <c:v>-495.04201680672224</c:v>
                </c:pt>
                <c:pt idx="3">
                  <c:v>-412.82016806722663</c:v>
                </c:pt>
                <c:pt idx="4">
                  <c:v>-330.59831932773085</c:v>
                </c:pt>
                <c:pt idx="5">
                  <c:v>-248.37647058823501</c:v>
                </c:pt>
                <c:pt idx="6">
                  <c:v>-166.1546218487394</c:v>
                </c:pt>
                <c:pt idx="7">
                  <c:v>-83.932773109243669</c:v>
                </c:pt>
                <c:pt idx="8">
                  <c:v>-1.710924369747902</c:v>
                </c:pt>
                <c:pt idx="9">
                  <c:v>80.510924369747784</c:v>
                </c:pt>
                <c:pt idx="10">
                  <c:v>162.73277310924354</c:v>
                </c:pt>
                <c:pt idx="11">
                  <c:v>244.95462184873929</c:v>
                </c:pt>
                <c:pt idx="12">
                  <c:v>327.17647058823502</c:v>
                </c:pt>
                <c:pt idx="13">
                  <c:v>409.39831932773069</c:v>
                </c:pt>
                <c:pt idx="14">
                  <c:v>491.62016806722647</c:v>
                </c:pt>
                <c:pt idx="15">
                  <c:v>573.84201680672231</c:v>
                </c:pt>
                <c:pt idx="16">
                  <c:v>656.06386554621781</c:v>
                </c:pt>
                <c:pt idx="17">
                  <c:v>738.28571428571354</c:v>
                </c:pt>
                <c:pt idx="18">
                  <c:v>820.50756302520915</c:v>
                </c:pt>
                <c:pt idx="19">
                  <c:v>902.72941176470522</c:v>
                </c:pt>
                <c:pt idx="20">
                  <c:v>984.95126050421095</c:v>
                </c:pt>
                <c:pt idx="21">
                  <c:v>1067.1731092436969</c:v>
                </c:pt>
                <c:pt idx="22">
                  <c:v>1149.3949579831924</c:v>
                </c:pt>
                <c:pt idx="23">
                  <c:v>1231.6168067226879</c:v>
                </c:pt>
                <c:pt idx="24">
                  <c:v>1313.8386554621839</c:v>
                </c:pt>
                <c:pt idx="25">
                  <c:v>1396.0605042016796</c:v>
                </c:pt>
                <c:pt idx="26">
                  <c:v>1478.2823529411748</c:v>
                </c:pt>
                <c:pt idx="27">
                  <c:v>1560.5042016806708</c:v>
                </c:pt>
                <c:pt idx="28">
                  <c:v>1642.7260504201668</c:v>
                </c:pt>
                <c:pt idx="29">
                  <c:v>1724.947899159662</c:v>
                </c:pt>
                <c:pt idx="30">
                  <c:v>1807.1697478991575</c:v>
                </c:pt>
                <c:pt idx="31">
                  <c:v>1889.3915966386539</c:v>
                </c:pt>
                <c:pt idx="32">
                  <c:v>1971.6134453781694</c:v>
                </c:pt>
                <c:pt idx="33">
                  <c:v>2053.8352941176454</c:v>
                </c:pt>
                <c:pt idx="34">
                  <c:v>2136.0571428571407</c:v>
                </c:pt>
                <c:pt idx="35">
                  <c:v>2218.2789915966368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F-4E68-BE98-9F5CD5744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81312"/>
        <c:axId val="196403584"/>
      </c:lineChart>
      <c:catAx>
        <c:axId val="19638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03584"/>
        <c:crosses val="autoZero"/>
        <c:auto val="1"/>
        <c:lblAlgn val="ctr"/>
        <c:lblOffset val="100"/>
        <c:noMultiLvlLbl val="0"/>
      </c:catAx>
      <c:valAx>
        <c:axId val="19640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3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84666</xdr:colOff>
      <xdr:row>7</xdr:row>
      <xdr:rowOff>116416</xdr:rowOff>
    </xdr:from>
    <xdr:to>
      <xdr:col>34</xdr:col>
      <xdr:colOff>42333</xdr:colOff>
      <xdr:row>47</xdr:row>
      <xdr:rowOff>148166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492919</xdr:colOff>
      <xdr:row>0</xdr:row>
      <xdr:rowOff>197644</xdr:rowOff>
    </xdr:from>
    <xdr:to>
      <xdr:col>14</xdr:col>
      <xdr:colOff>171450</xdr:colOff>
      <xdr:row>6</xdr:row>
      <xdr:rowOff>66675</xdr:rowOff>
    </xdr:to>
    <xdr:sp macro="[0]!Automator" textlink="">
      <xdr:nvSpPr>
        <xdr:cNvPr id="3" name="Rounded Rectangle 2"/>
        <xdr:cNvSpPr/>
      </xdr:nvSpPr>
      <xdr:spPr>
        <a:xfrm>
          <a:off x="9151144" y="197644"/>
          <a:ext cx="2726531" cy="91678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REPORT</a:t>
          </a:r>
          <a:r>
            <a:rPr lang="en-US" sz="2000" baseline="0"/>
            <a:t> CHURN!</a:t>
          </a:r>
          <a:endParaRPr lang="en-US" sz="2000"/>
        </a:p>
      </xdr:txBody>
    </xdr:sp>
    <xdr:clientData/>
  </xdr:twoCellAnchor>
  <xdr:twoCellAnchor>
    <xdr:from>
      <xdr:col>6</xdr:col>
      <xdr:colOff>600076</xdr:colOff>
      <xdr:row>0</xdr:row>
      <xdr:rowOff>190500</xdr:rowOff>
    </xdr:from>
    <xdr:to>
      <xdr:col>9</xdr:col>
      <xdr:colOff>85726</xdr:colOff>
      <xdr:row>6</xdr:row>
      <xdr:rowOff>59531</xdr:rowOff>
    </xdr:to>
    <xdr:sp macro="[0]!refresh" textlink="">
      <xdr:nvSpPr>
        <xdr:cNvPr id="4" name="Rounded Rectangle 3"/>
        <xdr:cNvSpPr/>
      </xdr:nvSpPr>
      <xdr:spPr>
        <a:xfrm>
          <a:off x="7429501" y="190500"/>
          <a:ext cx="1314450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aseline="0"/>
            <a:t>REFRESH!</a:t>
          </a:r>
          <a:endParaRPr lang="en-US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786740</xdr:colOff>
      <xdr:row>10</xdr:row>
      <xdr:rowOff>136073</xdr:rowOff>
    </xdr:from>
    <xdr:to>
      <xdr:col>22</xdr:col>
      <xdr:colOff>190501</xdr:colOff>
      <xdr:row>28</xdr:row>
      <xdr:rowOff>174833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ED420D-0487-4A41-BA5B-9B8E16B20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820964</xdr:colOff>
      <xdr:row>29</xdr:row>
      <xdr:rowOff>175079</xdr:rowOff>
    </xdr:from>
    <xdr:to>
      <xdr:col>20</xdr:col>
      <xdr:colOff>920750</xdr:colOff>
      <xdr:row>45</xdr:row>
      <xdr:rowOff>15422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5A172E-102B-4E83-8AA2-8B2F1D1E1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875393</xdr:colOff>
      <xdr:row>45</xdr:row>
      <xdr:rowOff>211365</xdr:rowOff>
    </xdr:from>
    <xdr:to>
      <xdr:col>20</xdr:col>
      <xdr:colOff>975179</xdr:colOff>
      <xdr:row>59</xdr:row>
      <xdr:rowOff>33565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3AC76C-13C4-4C58-861E-306E9CE9B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169333</xdr:colOff>
      <xdr:row>40</xdr:row>
      <xdr:rowOff>153458</xdr:rowOff>
    </xdr:from>
    <xdr:to>
      <xdr:col>15</xdr:col>
      <xdr:colOff>1010708</xdr:colOff>
      <xdr:row>46</xdr:row>
      <xdr:rowOff>121708</xdr:rowOff>
    </xdr:to>
    <xdr:sp macro="" textlink="">
      <xdr:nvSpPr>
        <xdr:cNvPr id="5" name="TextBox 4"/>
        <xdr:cNvSpPr txBox="1"/>
      </xdr:nvSpPr>
      <xdr:spPr>
        <a:xfrm>
          <a:off x="14323483" y="8611658"/>
          <a:ext cx="3441700" cy="1244600"/>
        </a:xfrm>
        <a:prstGeom prst="rect">
          <a:avLst/>
        </a:prstGeom>
        <a:solidFill>
          <a:schemeClr val="lt1"/>
        </a:solidFill>
        <a:ln w="571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KPI: This</a:t>
          </a:r>
          <a:r>
            <a:rPr lang="en-US" sz="1600" baseline="0"/>
            <a:t> should be always less then 10%. if it exceeds 10% for two months in a row or more, please  appeal to conduct an investigation!</a:t>
          </a:r>
          <a:endParaRPr lang="en-US" sz="1600"/>
        </a:p>
      </xdr:txBody>
    </xdr:sp>
    <xdr:clientData/>
  </xdr:twoCellAnchor>
  <xdr:twoCellAnchor>
    <xdr:from>
      <xdr:col>11</xdr:col>
      <xdr:colOff>813289</xdr:colOff>
      <xdr:row>40</xdr:row>
      <xdr:rowOff>28392</xdr:rowOff>
    </xdr:from>
    <xdr:to>
      <xdr:col>13</xdr:col>
      <xdr:colOff>142875</xdr:colOff>
      <xdr:row>44</xdr:row>
      <xdr:rowOff>35721</xdr:rowOff>
    </xdr:to>
    <xdr:cxnSp macro="">
      <xdr:nvCxnSpPr>
        <xdr:cNvPr id="6" name="Elbow Connector 5"/>
        <xdr:cNvCxnSpPr/>
      </xdr:nvCxnSpPr>
      <xdr:spPr>
        <a:xfrm rot="10800000">
          <a:off x="12710014" y="8486592"/>
          <a:ext cx="1587011" cy="769329"/>
        </a:xfrm>
        <a:prstGeom prst="bentConnector3">
          <a:avLst>
            <a:gd name="adj1" fmla="val 100105"/>
          </a:avLst>
        </a:prstGeom>
        <a:ln w="571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786740</xdr:colOff>
      <xdr:row>10</xdr:row>
      <xdr:rowOff>136073</xdr:rowOff>
    </xdr:from>
    <xdr:to>
      <xdr:col>22</xdr:col>
      <xdr:colOff>190501</xdr:colOff>
      <xdr:row>28</xdr:row>
      <xdr:rowOff>174833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ED420D-0487-4A41-BA5B-9B8E16B20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820964</xdr:colOff>
      <xdr:row>29</xdr:row>
      <xdr:rowOff>175079</xdr:rowOff>
    </xdr:from>
    <xdr:to>
      <xdr:col>20</xdr:col>
      <xdr:colOff>920750</xdr:colOff>
      <xdr:row>45</xdr:row>
      <xdr:rowOff>15422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5A172E-102B-4E83-8AA2-8B2F1D1E1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875393</xdr:colOff>
      <xdr:row>45</xdr:row>
      <xdr:rowOff>211365</xdr:rowOff>
    </xdr:from>
    <xdr:to>
      <xdr:col>20</xdr:col>
      <xdr:colOff>975179</xdr:colOff>
      <xdr:row>59</xdr:row>
      <xdr:rowOff>33565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3AC76C-13C4-4C58-861E-306E9CE9B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1"/>
  <sheetViews>
    <sheetView tabSelected="1" topLeftCell="A10" zoomScaleNormal="100" workbookViewId="0">
      <selection activeCell="C15" sqref="C15"/>
    </sheetView>
  </sheetViews>
  <sheetFormatPr defaultRowHeight="12.75" x14ac:dyDescent="0.2"/>
  <cols>
    <col min="1" max="1" width="9.140625" style="2"/>
    <col min="2" max="2" width="24.85546875" style="2" customWidth="1"/>
    <col min="3" max="3" width="20.5703125" style="2" bestFit="1" customWidth="1"/>
    <col min="4" max="4" width="9.140625" style="2" customWidth="1"/>
    <col min="5" max="5" width="17.7109375" style="2" bestFit="1" customWidth="1"/>
    <col min="6" max="6" width="24.7109375" style="2" bestFit="1" customWidth="1"/>
    <col min="7" max="257" width="9.140625" style="2"/>
    <col min="258" max="258" width="9.85546875" style="2" customWidth="1"/>
    <col min="259" max="260" width="9.140625" style="2" customWidth="1"/>
    <col min="261" max="513" width="9.140625" style="2"/>
    <col min="514" max="514" width="9.85546875" style="2" customWidth="1"/>
    <col min="515" max="516" width="9.140625" style="2" customWidth="1"/>
    <col min="517" max="769" width="9.140625" style="2"/>
    <col min="770" max="770" width="9.85546875" style="2" customWidth="1"/>
    <col min="771" max="772" width="9.140625" style="2" customWidth="1"/>
    <col min="773" max="1025" width="9.140625" style="2"/>
    <col min="1026" max="1026" width="9.85546875" style="2" customWidth="1"/>
    <col min="1027" max="1028" width="9.140625" style="2" customWidth="1"/>
    <col min="1029" max="1281" width="9.140625" style="2"/>
    <col min="1282" max="1282" width="9.85546875" style="2" customWidth="1"/>
    <col min="1283" max="1284" width="9.140625" style="2" customWidth="1"/>
    <col min="1285" max="1537" width="9.140625" style="2"/>
    <col min="1538" max="1538" width="9.85546875" style="2" customWidth="1"/>
    <col min="1539" max="1540" width="9.140625" style="2" customWidth="1"/>
    <col min="1541" max="1793" width="9.140625" style="2"/>
    <col min="1794" max="1794" width="9.85546875" style="2" customWidth="1"/>
    <col min="1795" max="1796" width="9.140625" style="2" customWidth="1"/>
    <col min="1797" max="2049" width="9.140625" style="2"/>
    <col min="2050" max="2050" width="9.85546875" style="2" customWidth="1"/>
    <col min="2051" max="2052" width="9.140625" style="2" customWidth="1"/>
    <col min="2053" max="2305" width="9.140625" style="2"/>
    <col min="2306" max="2306" width="9.85546875" style="2" customWidth="1"/>
    <col min="2307" max="2308" width="9.140625" style="2" customWidth="1"/>
    <col min="2309" max="2561" width="9.140625" style="2"/>
    <col min="2562" max="2562" width="9.85546875" style="2" customWidth="1"/>
    <col min="2563" max="2564" width="9.140625" style="2" customWidth="1"/>
    <col min="2565" max="2817" width="9.140625" style="2"/>
    <col min="2818" max="2818" width="9.85546875" style="2" customWidth="1"/>
    <col min="2819" max="2820" width="9.140625" style="2" customWidth="1"/>
    <col min="2821" max="3073" width="9.140625" style="2"/>
    <col min="3074" max="3074" width="9.85546875" style="2" customWidth="1"/>
    <col min="3075" max="3076" width="9.140625" style="2" customWidth="1"/>
    <col min="3077" max="3329" width="9.140625" style="2"/>
    <col min="3330" max="3330" width="9.85546875" style="2" customWidth="1"/>
    <col min="3331" max="3332" width="9.140625" style="2" customWidth="1"/>
    <col min="3333" max="3585" width="9.140625" style="2"/>
    <col min="3586" max="3586" width="9.85546875" style="2" customWidth="1"/>
    <col min="3587" max="3588" width="9.140625" style="2" customWidth="1"/>
    <col min="3589" max="3841" width="9.140625" style="2"/>
    <col min="3842" max="3842" width="9.85546875" style="2" customWidth="1"/>
    <col min="3843" max="3844" width="9.140625" style="2" customWidth="1"/>
    <col min="3845" max="4097" width="9.140625" style="2"/>
    <col min="4098" max="4098" width="9.85546875" style="2" customWidth="1"/>
    <col min="4099" max="4100" width="9.140625" style="2" customWidth="1"/>
    <col min="4101" max="4353" width="9.140625" style="2"/>
    <col min="4354" max="4354" width="9.85546875" style="2" customWidth="1"/>
    <col min="4355" max="4356" width="9.140625" style="2" customWidth="1"/>
    <col min="4357" max="4609" width="9.140625" style="2"/>
    <col min="4610" max="4610" width="9.85546875" style="2" customWidth="1"/>
    <col min="4611" max="4612" width="9.140625" style="2" customWidth="1"/>
    <col min="4613" max="4865" width="9.140625" style="2"/>
    <col min="4866" max="4866" width="9.85546875" style="2" customWidth="1"/>
    <col min="4867" max="4868" width="9.140625" style="2" customWidth="1"/>
    <col min="4869" max="5121" width="9.140625" style="2"/>
    <col min="5122" max="5122" width="9.85546875" style="2" customWidth="1"/>
    <col min="5123" max="5124" width="9.140625" style="2" customWidth="1"/>
    <col min="5125" max="5377" width="9.140625" style="2"/>
    <col min="5378" max="5378" width="9.85546875" style="2" customWidth="1"/>
    <col min="5379" max="5380" width="9.140625" style="2" customWidth="1"/>
    <col min="5381" max="5633" width="9.140625" style="2"/>
    <col min="5634" max="5634" width="9.85546875" style="2" customWidth="1"/>
    <col min="5635" max="5636" width="9.140625" style="2" customWidth="1"/>
    <col min="5637" max="5889" width="9.140625" style="2"/>
    <col min="5890" max="5890" width="9.85546875" style="2" customWidth="1"/>
    <col min="5891" max="5892" width="9.140625" style="2" customWidth="1"/>
    <col min="5893" max="6145" width="9.140625" style="2"/>
    <col min="6146" max="6146" width="9.85546875" style="2" customWidth="1"/>
    <col min="6147" max="6148" width="9.140625" style="2" customWidth="1"/>
    <col min="6149" max="6401" width="9.140625" style="2"/>
    <col min="6402" max="6402" width="9.85546875" style="2" customWidth="1"/>
    <col min="6403" max="6404" width="9.140625" style="2" customWidth="1"/>
    <col min="6405" max="6657" width="9.140625" style="2"/>
    <col min="6658" max="6658" width="9.85546875" style="2" customWidth="1"/>
    <col min="6659" max="6660" width="9.140625" style="2" customWidth="1"/>
    <col min="6661" max="6913" width="9.140625" style="2"/>
    <col min="6914" max="6914" width="9.85546875" style="2" customWidth="1"/>
    <col min="6915" max="6916" width="9.140625" style="2" customWidth="1"/>
    <col min="6917" max="7169" width="9.140625" style="2"/>
    <col min="7170" max="7170" width="9.85546875" style="2" customWidth="1"/>
    <col min="7171" max="7172" width="9.140625" style="2" customWidth="1"/>
    <col min="7173" max="7425" width="9.140625" style="2"/>
    <col min="7426" max="7426" width="9.85546875" style="2" customWidth="1"/>
    <col min="7427" max="7428" width="9.140625" style="2" customWidth="1"/>
    <col min="7429" max="7681" width="9.140625" style="2"/>
    <col min="7682" max="7682" width="9.85546875" style="2" customWidth="1"/>
    <col min="7683" max="7684" width="9.140625" style="2" customWidth="1"/>
    <col min="7685" max="7937" width="9.140625" style="2"/>
    <col min="7938" max="7938" width="9.85546875" style="2" customWidth="1"/>
    <col min="7939" max="7940" width="9.140625" style="2" customWidth="1"/>
    <col min="7941" max="8193" width="9.140625" style="2"/>
    <col min="8194" max="8194" width="9.85546875" style="2" customWidth="1"/>
    <col min="8195" max="8196" width="9.140625" style="2" customWidth="1"/>
    <col min="8197" max="8449" width="9.140625" style="2"/>
    <col min="8450" max="8450" width="9.85546875" style="2" customWidth="1"/>
    <col min="8451" max="8452" width="9.140625" style="2" customWidth="1"/>
    <col min="8453" max="8705" width="9.140625" style="2"/>
    <col min="8706" max="8706" width="9.85546875" style="2" customWidth="1"/>
    <col min="8707" max="8708" width="9.140625" style="2" customWidth="1"/>
    <col min="8709" max="8961" width="9.140625" style="2"/>
    <col min="8962" max="8962" width="9.85546875" style="2" customWidth="1"/>
    <col min="8963" max="8964" width="9.140625" style="2" customWidth="1"/>
    <col min="8965" max="9217" width="9.140625" style="2"/>
    <col min="9218" max="9218" width="9.85546875" style="2" customWidth="1"/>
    <col min="9219" max="9220" width="9.140625" style="2" customWidth="1"/>
    <col min="9221" max="9473" width="9.140625" style="2"/>
    <col min="9474" max="9474" width="9.85546875" style="2" customWidth="1"/>
    <col min="9475" max="9476" width="9.140625" style="2" customWidth="1"/>
    <col min="9477" max="9729" width="9.140625" style="2"/>
    <col min="9730" max="9730" width="9.85546875" style="2" customWidth="1"/>
    <col min="9731" max="9732" width="9.140625" style="2" customWidth="1"/>
    <col min="9733" max="9985" width="9.140625" style="2"/>
    <col min="9986" max="9986" width="9.85546875" style="2" customWidth="1"/>
    <col min="9987" max="9988" width="9.140625" style="2" customWidth="1"/>
    <col min="9989" max="10241" width="9.140625" style="2"/>
    <col min="10242" max="10242" width="9.85546875" style="2" customWidth="1"/>
    <col min="10243" max="10244" width="9.140625" style="2" customWidth="1"/>
    <col min="10245" max="10497" width="9.140625" style="2"/>
    <col min="10498" max="10498" width="9.85546875" style="2" customWidth="1"/>
    <col min="10499" max="10500" width="9.140625" style="2" customWidth="1"/>
    <col min="10501" max="10753" width="9.140625" style="2"/>
    <col min="10754" max="10754" width="9.85546875" style="2" customWidth="1"/>
    <col min="10755" max="10756" width="9.140625" style="2" customWidth="1"/>
    <col min="10757" max="11009" width="9.140625" style="2"/>
    <col min="11010" max="11010" width="9.85546875" style="2" customWidth="1"/>
    <col min="11011" max="11012" width="9.140625" style="2" customWidth="1"/>
    <col min="11013" max="11265" width="9.140625" style="2"/>
    <col min="11266" max="11266" width="9.85546875" style="2" customWidth="1"/>
    <col min="11267" max="11268" width="9.140625" style="2" customWidth="1"/>
    <col min="11269" max="11521" width="9.140625" style="2"/>
    <col min="11522" max="11522" width="9.85546875" style="2" customWidth="1"/>
    <col min="11523" max="11524" width="9.140625" style="2" customWidth="1"/>
    <col min="11525" max="11777" width="9.140625" style="2"/>
    <col min="11778" max="11778" width="9.85546875" style="2" customWidth="1"/>
    <col min="11779" max="11780" width="9.140625" style="2" customWidth="1"/>
    <col min="11781" max="12033" width="9.140625" style="2"/>
    <col min="12034" max="12034" width="9.85546875" style="2" customWidth="1"/>
    <col min="12035" max="12036" width="9.140625" style="2" customWidth="1"/>
    <col min="12037" max="12289" width="9.140625" style="2"/>
    <col min="12290" max="12290" width="9.85546875" style="2" customWidth="1"/>
    <col min="12291" max="12292" width="9.140625" style="2" customWidth="1"/>
    <col min="12293" max="12545" width="9.140625" style="2"/>
    <col min="12546" max="12546" width="9.85546875" style="2" customWidth="1"/>
    <col min="12547" max="12548" width="9.140625" style="2" customWidth="1"/>
    <col min="12549" max="12801" width="9.140625" style="2"/>
    <col min="12802" max="12802" width="9.85546875" style="2" customWidth="1"/>
    <col min="12803" max="12804" width="9.140625" style="2" customWidth="1"/>
    <col min="12805" max="13057" width="9.140625" style="2"/>
    <col min="13058" max="13058" width="9.85546875" style="2" customWidth="1"/>
    <col min="13059" max="13060" width="9.140625" style="2" customWidth="1"/>
    <col min="13061" max="13313" width="9.140625" style="2"/>
    <col min="13314" max="13314" width="9.85546875" style="2" customWidth="1"/>
    <col min="13315" max="13316" width="9.140625" style="2" customWidth="1"/>
    <col min="13317" max="13569" width="9.140625" style="2"/>
    <col min="13570" max="13570" width="9.85546875" style="2" customWidth="1"/>
    <col min="13571" max="13572" width="9.140625" style="2" customWidth="1"/>
    <col min="13573" max="13825" width="9.140625" style="2"/>
    <col min="13826" max="13826" width="9.85546875" style="2" customWidth="1"/>
    <col min="13827" max="13828" width="9.140625" style="2" customWidth="1"/>
    <col min="13829" max="14081" width="9.140625" style="2"/>
    <col min="14082" max="14082" width="9.85546875" style="2" customWidth="1"/>
    <col min="14083" max="14084" width="9.140625" style="2" customWidth="1"/>
    <col min="14085" max="14337" width="9.140625" style="2"/>
    <col min="14338" max="14338" width="9.85546875" style="2" customWidth="1"/>
    <col min="14339" max="14340" width="9.140625" style="2" customWidth="1"/>
    <col min="14341" max="14593" width="9.140625" style="2"/>
    <col min="14594" max="14594" width="9.85546875" style="2" customWidth="1"/>
    <col min="14595" max="14596" width="9.140625" style="2" customWidth="1"/>
    <col min="14597" max="14849" width="9.140625" style="2"/>
    <col min="14850" max="14850" width="9.85546875" style="2" customWidth="1"/>
    <col min="14851" max="14852" width="9.140625" style="2" customWidth="1"/>
    <col min="14853" max="15105" width="9.140625" style="2"/>
    <col min="15106" max="15106" width="9.85546875" style="2" customWidth="1"/>
    <col min="15107" max="15108" width="9.140625" style="2" customWidth="1"/>
    <col min="15109" max="15361" width="9.140625" style="2"/>
    <col min="15362" max="15362" width="9.85546875" style="2" customWidth="1"/>
    <col min="15363" max="15364" width="9.140625" style="2" customWidth="1"/>
    <col min="15365" max="15617" width="9.140625" style="2"/>
    <col min="15618" max="15618" width="9.85546875" style="2" customWidth="1"/>
    <col min="15619" max="15620" width="9.140625" style="2" customWidth="1"/>
    <col min="15621" max="15873" width="9.140625" style="2"/>
    <col min="15874" max="15874" width="9.85546875" style="2" customWidth="1"/>
    <col min="15875" max="15876" width="9.140625" style="2" customWidth="1"/>
    <col min="15877" max="16129" width="9.140625" style="2"/>
    <col min="16130" max="16130" width="9.85546875" style="2" customWidth="1"/>
    <col min="16131" max="16132" width="9.140625" style="2" customWidth="1"/>
    <col min="16133" max="16384" width="9.140625" style="2"/>
  </cols>
  <sheetData>
    <row r="1" spans="1:6" ht="18.75" x14ac:dyDescent="0.3">
      <c r="A1" s="1" t="s">
        <v>0</v>
      </c>
    </row>
    <row r="3" spans="1:6" x14ac:dyDescent="0.2">
      <c r="B3" s="3" t="s">
        <v>1</v>
      </c>
      <c r="C3" s="4" t="s">
        <v>2</v>
      </c>
      <c r="E3" s="3" t="s">
        <v>3</v>
      </c>
      <c r="F3" s="4" t="s">
        <v>211</v>
      </c>
    </row>
    <row r="4" spans="1:6" x14ac:dyDescent="0.2">
      <c r="B4" s="3" t="s">
        <v>5</v>
      </c>
      <c r="C4" s="4" t="s">
        <v>6</v>
      </c>
      <c r="E4" s="3" t="s">
        <v>7</v>
      </c>
      <c r="F4" s="4" t="s">
        <v>212</v>
      </c>
    </row>
    <row r="5" spans="1:6" x14ac:dyDescent="0.2">
      <c r="B5" s="3" t="s">
        <v>9</v>
      </c>
      <c r="C5" s="4" t="s">
        <v>10</v>
      </c>
    </row>
    <row r="6" spans="1:6" x14ac:dyDescent="0.2">
      <c r="B6" s="3" t="s">
        <v>11</v>
      </c>
      <c r="C6" s="4">
        <v>2016</v>
      </c>
    </row>
    <row r="9" spans="1:6" x14ac:dyDescent="0.2">
      <c r="A9" s="5" t="s">
        <v>12</v>
      </c>
      <c r="B9" s="3" t="s">
        <v>13</v>
      </c>
      <c r="C9" s="6" t="s">
        <v>14</v>
      </c>
      <c r="D9" s="5" t="s">
        <v>15</v>
      </c>
      <c r="E9" s="6" t="s">
        <v>16</v>
      </c>
    </row>
    <row r="10" spans="1:6" x14ac:dyDescent="0.2">
      <c r="A10" s="7">
        <v>1</v>
      </c>
      <c r="B10" s="2" t="s">
        <v>248</v>
      </c>
      <c r="C10" s="8">
        <f ca="1">_xll.DBRW($C$3,$C$5,$F$3,$B10,$C$4)</f>
        <v>0</v>
      </c>
      <c r="D10" s="9">
        <f ca="1">FORECAST(A10,$C$10:$C$44,$A$10:$A$44)</f>
        <v>-659.48571428571427</v>
      </c>
      <c r="E10" s="9">
        <f ca="1">ABS(D10-C10)</f>
        <v>659.48571428571427</v>
      </c>
    </row>
    <row r="11" spans="1:6" x14ac:dyDescent="0.2">
      <c r="A11" s="8">
        <v>2</v>
      </c>
      <c r="B11" s="2" t="s">
        <v>247</v>
      </c>
      <c r="C11" s="8">
        <f ca="1">_xll.DBRW($C$3,$C$5,$F$3,$B11,$C$4)</f>
        <v>0</v>
      </c>
      <c r="D11" s="9">
        <f ca="1">FORECAST(A11,$C$10:$C$44,$A$10:$A$44)</f>
        <v>-577.26386554621854</v>
      </c>
      <c r="E11" s="9">
        <f t="shared" ref="E11:E45" ca="1" si="0">ABS(D11-C11)</f>
        <v>577.26386554621854</v>
      </c>
    </row>
    <row r="12" spans="1:6" x14ac:dyDescent="0.2">
      <c r="A12" s="8">
        <v>3</v>
      </c>
      <c r="B12" s="2" t="s">
        <v>246</v>
      </c>
      <c r="C12" s="8">
        <f ca="1">_xll.DBRW($C$3,$C$5,$F$3,$B12,$C$4)</f>
        <v>0</v>
      </c>
      <c r="D12" s="9">
        <f ca="1">FORECAST(A12,$C$10:$C$44,$A$10:$A$44)</f>
        <v>-495.0420168067227</v>
      </c>
      <c r="E12" s="9">
        <f t="shared" ca="1" si="0"/>
        <v>495.0420168067227</v>
      </c>
    </row>
    <row r="13" spans="1:6" x14ac:dyDescent="0.2">
      <c r="A13" s="8">
        <v>4</v>
      </c>
      <c r="B13" s="2" t="s">
        <v>245</v>
      </c>
      <c r="C13" s="8">
        <f ca="1">_xll.DBRW($C$3,$C$5,$F$3,$B13,$C$4)</f>
        <v>0</v>
      </c>
      <c r="D13" s="9">
        <f ca="1">FORECAST(A13,$C$10:$C$44,$A$10:$A$44)</f>
        <v>-412.82016806722692</v>
      </c>
      <c r="E13" s="9">
        <f t="shared" ca="1" si="0"/>
        <v>412.82016806722692</v>
      </c>
    </row>
    <row r="14" spans="1:6" x14ac:dyDescent="0.2">
      <c r="A14" s="8">
        <v>5</v>
      </c>
      <c r="B14" s="2" t="s">
        <v>244</v>
      </c>
      <c r="C14" s="8">
        <f ca="1">_xll.DBRW($C$3,$C$5,$F$3,$B14,$C$4)</f>
        <v>0</v>
      </c>
      <c r="D14" s="9">
        <f ca="1">FORECAST(A14,$C$10:$C$44,$A$10:$A$44)</f>
        <v>-330.59831932773113</v>
      </c>
      <c r="E14" s="9">
        <f t="shared" ca="1" si="0"/>
        <v>330.59831932773113</v>
      </c>
    </row>
    <row r="15" spans="1:6" x14ac:dyDescent="0.2">
      <c r="A15" s="8">
        <v>6</v>
      </c>
      <c r="B15" s="2" t="s">
        <v>243</v>
      </c>
      <c r="C15" s="8">
        <f ca="1">_xll.DBRW($C$3,$C$5,$F$3,$B15,$C$4)</f>
        <v>0</v>
      </c>
      <c r="D15" s="9">
        <f t="shared" ref="D15:D45" ca="1" si="1">FORECAST(A15,$C$10:$C$44,$A$10:$A$44)</f>
        <v>-248.37647058823529</v>
      </c>
      <c r="E15" s="9">
        <f t="shared" ca="1" si="0"/>
        <v>248.37647058823529</v>
      </c>
    </row>
    <row r="16" spans="1:6" x14ac:dyDescent="0.2">
      <c r="A16" s="8">
        <v>7</v>
      </c>
      <c r="B16" s="8" t="s">
        <v>17</v>
      </c>
      <c r="C16" s="8">
        <f ca="1">_xll.DBRW($C$3,$C$5,$F$3,$B16,$C$4)</f>
        <v>0</v>
      </c>
      <c r="D16" s="9">
        <f t="shared" ca="1" si="1"/>
        <v>-166.15462184873957</v>
      </c>
      <c r="E16" s="9">
        <f t="shared" ca="1" si="0"/>
        <v>166.15462184873957</v>
      </c>
    </row>
    <row r="17" spans="1:5" x14ac:dyDescent="0.2">
      <c r="A17" s="8">
        <v>8</v>
      </c>
      <c r="B17" s="8" t="s">
        <v>18</v>
      </c>
      <c r="C17" s="8">
        <f ca="1">_xll.DBRW($C$3,$C$5,$F$3,$B17,$C$4)</f>
        <v>0</v>
      </c>
      <c r="D17" s="9">
        <f t="shared" ca="1" si="1"/>
        <v>-83.932773109243726</v>
      </c>
      <c r="E17" s="9">
        <f t="shared" ca="1" si="0"/>
        <v>83.932773109243726</v>
      </c>
    </row>
    <row r="18" spans="1:5" x14ac:dyDescent="0.2">
      <c r="A18" s="8">
        <v>9</v>
      </c>
      <c r="B18" s="8" t="s">
        <v>19</v>
      </c>
      <c r="C18" s="8">
        <f ca="1">_xll.DBRW($C$3,$C$5,$F$3,$B18,$C$4)</f>
        <v>0</v>
      </c>
      <c r="D18" s="9">
        <f t="shared" ca="1" si="1"/>
        <v>-1.710924369747886</v>
      </c>
      <c r="E18" s="9">
        <f t="shared" ca="1" si="0"/>
        <v>1.710924369747886</v>
      </c>
    </row>
    <row r="19" spans="1:5" x14ac:dyDescent="0.2">
      <c r="A19" s="8">
        <v>10</v>
      </c>
      <c r="B19" s="8" t="s">
        <v>20</v>
      </c>
      <c r="C19" s="8">
        <f ca="1">_xll.DBRW($C$3,$C$5,$F$3,$B19,$C$4)</f>
        <v>0</v>
      </c>
      <c r="D19" s="9">
        <f t="shared" ca="1" si="1"/>
        <v>80.510924369747841</v>
      </c>
      <c r="E19" s="9">
        <f t="shared" ca="1" si="0"/>
        <v>80.510924369747841</v>
      </c>
    </row>
    <row r="20" spans="1:5" x14ac:dyDescent="0.2">
      <c r="A20" s="8">
        <v>11</v>
      </c>
      <c r="B20" s="8" t="s">
        <v>21</v>
      </c>
      <c r="C20" s="8">
        <f ca="1">_xll.DBRW($C$3,$C$5,$F$3,$B20,$C$4)</f>
        <v>0</v>
      </c>
      <c r="D20" s="9">
        <f t="shared" ca="1" si="1"/>
        <v>162.73277310924368</v>
      </c>
      <c r="E20" s="9">
        <f t="shared" ca="1" si="0"/>
        <v>162.73277310924368</v>
      </c>
    </row>
    <row r="21" spans="1:5" x14ac:dyDescent="0.2">
      <c r="A21" s="8">
        <v>12</v>
      </c>
      <c r="B21" s="8" t="s">
        <v>22</v>
      </c>
      <c r="C21" s="8">
        <f ca="1">_xll.DBRW($C$3,$C$5,$F$3,$B21,$C$4)</f>
        <v>0</v>
      </c>
      <c r="D21" s="9">
        <f t="shared" ca="1" si="1"/>
        <v>244.95462184873952</v>
      </c>
      <c r="E21" s="9">
        <f t="shared" ca="1" si="0"/>
        <v>244.95462184873952</v>
      </c>
    </row>
    <row r="22" spans="1:5" x14ac:dyDescent="0.2">
      <c r="A22" s="8">
        <v>13</v>
      </c>
      <c r="B22" s="8" t="s">
        <v>23</v>
      </c>
      <c r="C22" s="8">
        <f ca="1">_xll.DBRW($C$3,$C$5,$F$3,$B22,$C$4)</f>
        <v>0</v>
      </c>
      <c r="D22" s="9">
        <f t="shared" ca="1" si="1"/>
        <v>327.17647058823525</v>
      </c>
      <c r="E22" s="9">
        <f t="shared" ca="1" si="0"/>
        <v>327.17647058823525</v>
      </c>
    </row>
    <row r="23" spans="1:5" x14ac:dyDescent="0.2">
      <c r="A23" s="8">
        <v>14</v>
      </c>
      <c r="B23" s="8" t="s">
        <v>24</v>
      </c>
      <c r="C23" s="8">
        <f ca="1">_xll.DBRW($C$3,$C$5,$F$3,$B23,$C$4)</f>
        <v>0</v>
      </c>
      <c r="D23" s="9">
        <f t="shared" ca="1" si="1"/>
        <v>409.39831932773097</v>
      </c>
      <c r="E23" s="9">
        <f t="shared" ca="1" si="0"/>
        <v>409.39831932773097</v>
      </c>
    </row>
    <row r="24" spans="1:5" x14ac:dyDescent="0.2">
      <c r="A24" s="8">
        <v>15</v>
      </c>
      <c r="B24" s="8" t="s">
        <v>25</v>
      </c>
      <c r="C24" s="8">
        <f ca="1">_xll.DBRW($C$3,$C$5,$F$3,$B24,$C$4)</f>
        <v>0</v>
      </c>
      <c r="D24" s="9">
        <f t="shared" ca="1" si="1"/>
        <v>491.62016806722693</v>
      </c>
      <c r="E24" s="9">
        <f t="shared" ca="1" si="0"/>
        <v>491.62016806722693</v>
      </c>
    </row>
    <row r="25" spans="1:5" x14ac:dyDescent="0.2">
      <c r="A25" s="8">
        <v>16</v>
      </c>
      <c r="B25" s="8" t="s">
        <v>26</v>
      </c>
      <c r="C25" s="8">
        <f ca="1">_xll.DBRW($C$3,$C$5,$F$3,$B25,$C$4)</f>
        <v>0</v>
      </c>
      <c r="D25" s="9">
        <f t="shared" ca="1" si="1"/>
        <v>573.84201680672265</v>
      </c>
      <c r="E25" s="9">
        <f t="shared" ca="1" si="0"/>
        <v>573.84201680672265</v>
      </c>
    </row>
    <row r="26" spans="1:5" x14ac:dyDescent="0.2">
      <c r="A26" s="8">
        <v>17</v>
      </c>
      <c r="B26" s="8" t="s">
        <v>27</v>
      </c>
      <c r="C26" s="8">
        <f ca="1">_xll.DBRW($C$3,$C$5,$F$3,$B26,$C$4)</f>
        <v>0</v>
      </c>
      <c r="D26" s="9">
        <f t="shared" ca="1" si="1"/>
        <v>656.06386554621838</v>
      </c>
      <c r="E26" s="9">
        <f t="shared" ca="1" si="0"/>
        <v>656.06386554621838</v>
      </c>
    </row>
    <row r="27" spans="1:5" x14ac:dyDescent="0.2">
      <c r="A27" s="8">
        <v>18</v>
      </c>
      <c r="B27" s="8" t="s">
        <v>28</v>
      </c>
      <c r="C27" s="8">
        <f ca="1">_xll.DBRW($C$3,$C$5,$F$3,$B27,$C$4)</f>
        <v>0</v>
      </c>
      <c r="D27" s="9">
        <f t="shared" ca="1" si="1"/>
        <v>738.28571428571433</v>
      </c>
      <c r="E27" s="9">
        <f t="shared" ca="1" si="0"/>
        <v>738.28571428571433</v>
      </c>
    </row>
    <row r="28" spans="1:5" x14ac:dyDescent="0.2">
      <c r="A28" s="8">
        <v>19</v>
      </c>
      <c r="B28" s="8" t="s">
        <v>29</v>
      </c>
      <c r="C28" s="8">
        <f ca="1">_xll.DBRW($C$3,$C$5,$F$3,$B28,$C$4)</f>
        <v>0</v>
      </c>
      <c r="D28" s="9">
        <f t="shared" ca="1" si="1"/>
        <v>820.50756302521006</v>
      </c>
      <c r="E28" s="9">
        <f t="shared" ca="1" si="0"/>
        <v>820.50756302521006</v>
      </c>
    </row>
    <row r="29" spans="1:5" x14ac:dyDescent="0.2">
      <c r="A29" s="8">
        <v>20</v>
      </c>
      <c r="B29" s="8" t="s">
        <v>30</v>
      </c>
      <c r="C29" s="8">
        <f ca="1">_xll.DBRW($C$3,$C$5,$F$3,$B29,$C$4)</f>
        <v>0</v>
      </c>
      <c r="D29" s="9">
        <f t="shared" ca="1" si="1"/>
        <v>902.72941176470579</v>
      </c>
      <c r="E29" s="9">
        <f t="shared" ca="1" si="0"/>
        <v>902.72941176470579</v>
      </c>
    </row>
    <row r="30" spans="1:5" x14ac:dyDescent="0.2">
      <c r="A30" s="8">
        <v>21</v>
      </c>
      <c r="B30" s="8" t="s">
        <v>31</v>
      </c>
      <c r="C30" s="8">
        <f ca="1">_xll.DBRW($C$3,$C$5,$F$3,$B30,$C$4)</f>
        <v>0</v>
      </c>
      <c r="D30" s="9">
        <f t="shared" ca="1" si="1"/>
        <v>984.95126050420174</v>
      </c>
      <c r="E30" s="9">
        <f t="shared" ca="1" si="0"/>
        <v>984.95126050420174</v>
      </c>
    </row>
    <row r="31" spans="1:5" x14ac:dyDescent="0.2">
      <c r="A31" s="8">
        <v>22</v>
      </c>
      <c r="B31" s="8" t="s">
        <v>32</v>
      </c>
      <c r="C31" s="8">
        <f ca="1">_xll.DBRW($C$3,$C$5,$F$3,$B31,$C$4)</f>
        <v>0</v>
      </c>
      <c r="D31" s="9">
        <f t="shared" ca="1" si="1"/>
        <v>1067.1731092436976</v>
      </c>
      <c r="E31" s="9">
        <f t="shared" ca="1" si="0"/>
        <v>1067.1731092436976</v>
      </c>
    </row>
    <row r="32" spans="1:5" x14ac:dyDescent="0.2">
      <c r="A32" s="8">
        <v>23</v>
      </c>
      <c r="B32" s="8" t="s">
        <v>33</v>
      </c>
      <c r="C32" s="8">
        <f ca="1">_xll.DBRW($C$3,$C$5,$F$3,$B32,$C$4)</f>
        <v>0</v>
      </c>
      <c r="D32" s="9">
        <f t="shared" ca="1" si="1"/>
        <v>1149.3949579831933</v>
      </c>
      <c r="E32" s="9">
        <f t="shared" ca="1" si="0"/>
        <v>1149.3949579831933</v>
      </c>
    </row>
    <row r="33" spans="1:14" x14ac:dyDescent="0.2">
      <c r="A33" s="8">
        <v>24</v>
      </c>
      <c r="B33" s="8" t="s">
        <v>34</v>
      </c>
      <c r="C33" s="8">
        <f ca="1">_xll.DBRW($C$3,$C$5,$F$3,$B33,$C$4)</f>
        <v>2740</v>
      </c>
      <c r="D33" s="9">
        <f t="shared" ca="1" si="1"/>
        <v>1231.616806722689</v>
      </c>
      <c r="E33" s="9">
        <f t="shared" ca="1" si="0"/>
        <v>1508.383193277311</v>
      </c>
    </row>
    <row r="34" spans="1:14" x14ac:dyDescent="0.2">
      <c r="A34" s="8">
        <v>25</v>
      </c>
      <c r="B34" s="8" t="s">
        <v>35</v>
      </c>
      <c r="C34" s="8">
        <f ca="1">_xll.DBRW($C$3,$C$5,$F$3,$B34,$C$4)</f>
        <v>2118</v>
      </c>
      <c r="D34" s="9">
        <f t="shared" ca="1" si="1"/>
        <v>1313.8386554621848</v>
      </c>
      <c r="E34" s="9">
        <f t="shared" ca="1" si="0"/>
        <v>804.16134453781524</v>
      </c>
    </row>
    <row r="35" spans="1:14" x14ac:dyDescent="0.2">
      <c r="A35" s="8">
        <v>26</v>
      </c>
      <c r="B35" s="8" t="s">
        <v>36</v>
      </c>
      <c r="C35" s="8">
        <f ca="1">_xll.DBRW($C$3,$C$5,$F$3,$B35,$C$4)</f>
        <v>2470</v>
      </c>
      <c r="D35" s="9">
        <f t="shared" ca="1" si="1"/>
        <v>1396.0605042016805</v>
      </c>
      <c r="E35" s="9">
        <f t="shared" ca="1" si="0"/>
        <v>1073.9394957983195</v>
      </c>
    </row>
    <row r="36" spans="1:14" x14ac:dyDescent="0.2">
      <c r="A36" s="8">
        <v>27</v>
      </c>
      <c r="B36" s="8" t="s">
        <v>37</v>
      </c>
      <c r="C36" s="8">
        <f ca="1">_xll.DBRW($C$3,$C$5,$F$3,$B36,$C$4)</f>
        <v>3959</v>
      </c>
      <c r="D36" s="9">
        <f t="shared" ca="1" si="1"/>
        <v>1478.2823529411762</v>
      </c>
      <c r="E36" s="9">
        <f t="shared" ca="1" si="0"/>
        <v>2480.7176470588238</v>
      </c>
    </row>
    <row r="37" spans="1:14" x14ac:dyDescent="0.2">
      <c r="A37" s="8">
        <v>28</v>
      </c>
      <c r="B37" s="8" t="s">
        <v>38</v>
      </c>
      <c r="C37" s="8">
        <f ca="1">_xll.DBRW($C$3,$C$5,$F$3,$B37,$C$4)</f>
        <v>1800</v>
      </c>
      <c r="D37" s="9">
        <f t="shared" ca="1" si="1"/>
        <v>1560.5042016806719</v>
      </c>
      <c r="E37" s="9">
        <f t="shared" ca="1" si="0"/>
        <v>239.49579831932806</v>
      </c>
    </row>
    <row r="38" spans="1:14" x14ac:dyDescent="0.2">
      <c r="A38" s="8">
        <v>29</v>
      </c>
      <c r="B38" s="8" t="s">
        <v>39</v>
      </c>
      <c r="C38" s="8">
        <f ca="1">_xll.DBRW($C$3,$C$5,$F$3,$B38,$C$4)</f>
        <v>197</v>
      </c>
      <c r="D38" s="9">
        <f t="shared" ca="1" si="1"/>
        <v>1642.7260504201681</v>
      </c>
      <c r="E38" s="9">
        <f t="shared" ca="1" si="0"/>
        <v>1445.7260504201681</v>
      </c>
    </row>
    <row r="39" spans="1:14" x14ac:dyDescent="0.2">
      <c r="A39" s="8">
        <v>30</v>
      </c>
      <c r="B39" s="8" t="s">
        <v>40</v>
      </c>
      <c r="C39" s="8">
        <f ca="1">_xll.DBRW($C$3,$C$5,$F$3,$B39,$C$4)</f>
        <v>1943</v>
      </c>
      <c r="D39" s="9">
        <f t="shared" ca="1" si="1"/>
        <v>1724.9478991596638</v>
      </c>
      <c r="E39" s="9">
        <f t="shared" ca="1" si="0"/>
        <v>218.05210084033615</v>
      </c>
    </row>
    <row r="40" spans="1:14" x14ac:dyDescent="0.2">
      <c r="A40" s="8">
        <v>31</v>
      </c>
      <c r="B40" s="8" t="s">
        <v>41</v>
      </c>
      <c r="C40" s="8">
        <f ca="1">_xll.DBRW($C$3,$C$5,$F$3,$B40,$C$4)</f>
        <v>1667</v>
      </c>
      <c r="D40" s="9">
        <f t="shared" ca="1" si="1"/>
        <v>1807.1697478991596</v>
      </c>
      <c r="E40" s="9">
        <f t="shared" ca="1" si="0"/>
        <v>140.16974789915957</v>
      </c>
    </row>
    <row r="41" spans="1:14" x14ac:dyDescent="0.2">
      <c r="A41" s="8">
        <v>32</v>
      </c>
      <c r="B41" s="8" t="s">
        <v>42</v>
      </c>
      <c r="C41" s="8">
        <f ca="1">_xll.DBRW($C$3,$C$5,$F$3,$B41,$C$4)</f>
        <v>333</v>
      </c>
      <c r="D41" s="9">
        <f t="shared" ca="1" si="1"/>
        <v>1889.3915966386553</v>
      </c>
      <c r="E41" s="9">
        <f t="shared" ca="1" si="0"/>
        <v>1556.3915966386553</v>
      </c>
    </row>
    <row r="42" spans="1:14" x14ac:dyDescent="0.2">
      <c r="A42" s="8">
        <v>33</v>
      </c>
      <c r="B42" s="8" t="s">
        <v>43</v>
      </c>
      <c r="C42" s="8">
        <f ca="1">_xll.DBRW($C$3,$C$5,$F$3,$B42,$C$4)</f>
        <v>3893</v>
      </c>
      <c r="D42" s="9">
        <f t="shared" ca="1" si="1"/>
        <v>1971.613445378151</v>
      </c>
      <c r="E42" s="9">
        <f t="shared" ca="1" si="0"/>
        <v>1921.386554621849</v>
      </c>
    </row>
    <row r="43" spans="1:14" x14ac:dyDescent="0.2">
      <c r="A43" s="8">
        <v>34</v>
      </c>
      <c r="B43" s="8" t="s">
        <v>44</v>
      </c>
      <c r="C43" s="8">
        <f ca="1">_xll.DBRW($C$3,$C$5,$F$3,$B43,$C$4)</f>
        <v>1576</v>
      </c>
      <c r="D43" s="9">
        <f t="shared" ca="1" si="1"/>
        <v>2053.8352941176468</v>
      </c>
      <c r="E43" s="9">
        <f t="shared" ca="1" si="0"/>
        <v>477.83529411764675</v>
      </c>
    </row>
    <row r="44" spans="1:14" x14ac:dyDescent="0.2">
      <c r="A44" s="8">
        <v>35</v>
      </c>
      <c r="B44" s="8" t="s">
        <v>45</v>
      </c>
      <c r="C44" s="8">
        <f ca="1">_xll.DBRW($C$3,$C$5,$F$3,$B44,$C$4)</f>
        <v>3144</v>
      </c>
      <c r="D44" s="9">
        <f t="shared" ca="1" si="1"/>
        <v>2136.0571428571425</v>
      </c>
      <c r="E44" s="9">
        <f t="shared" ca="1" si="0"/>
        <v>1007.9428571428575</v>
      </c>
    </row>
    <row r="45" spans="1:14" ht="15" x14ac:dyDescent="0.25">
      <c r="A45" s="8">
        <v>36</v>
      </c>
      <c r="B45" s="8" t="s">
        <v>46</v>
      </c>
      <c r="C45" s="8">
        <f ca="1">_xll.DBRW($C$3,$C$5,$F$3,$B45,$C$4)</f>
        <v>3520</v>
      </c>
      <c r="D45" s="9">
        <f t="shared" ca="1" si="1"/>
        <v>2218.2789915966387</v>
      </c>
      <c r="E45" s="9">
        <f t="shared" ca="1" si="0"/>
        <v>1301.7210084033613</v>
      </c>
      <c r="F45"/>
      <c r="G45"/>
      <c r="H45"/>
      <c r="I45"/>
      <c r="J45"/>
      <c r="K45"/>
      <c r="L45"/>
      <c r="M45"/>
      <c r="N45"/>
    </row>
    <row r="46" spans="1:14" ht="15" x14ac:dyDescent="0.25">
      <c r="A46" s="8">
        <v>37</v>
      </c>
      <c r="B46" s="8" t="s">
        <v>47</v>
      </c>
      <c r="C46" s="8"/>
      <c r="D46" s="10">
        <f ca="1">FORECAST(A46,$C$10:$C$45,$A$10:$A$45)</f>
        <v>2445.1365079365073</v>
      </c>
      <c r="E46" s="8"/>
      <c r="F46"/>
      <c r="G46"/>
      <c r="H46"/>
      <c r="I46"/>
      <c r="J46"/>
      <c r="K46"/>
      <c r="L46"/>
      <c r="M46"/>
      <c r="N46"/>
    </row>
    <row r="47" spans="1:14" ht="15" x14ac:dyDescent="0.25">
      <c r="A47" s="8">
        <v>38</v>
      </c>
      <c r="B47" s="8" t="s">
        <v>48</v>
      </c>
      <c r="C47" s="8"/>
      <c r="D47" s="10">
        <f ca="1">FORECAST(A47,$C$10:$C$45,$A$10:$A$45)</f>
        <v>2533.2219648219643</v>
      </c>
      <c r="E47" s="8"/>
      <c r="F47"/>
      <c r="G47"/>
      <c r="H47"/>
      <c r="I47"/>
      <c r="J47"/>
      <c r="K47"/>
      <c r="L47"/>
      <c r="M47"/>
      <c r="N47"/>
    </row>
    <row r="48" spans="1:14" ht="15" x14ac:dyDescent="0.25">
      <c r="A48" s="11">
        <v>39</v>
      </c>
      <c r="B48" s="11" t="s">
        <v>49</v>
      </c>
      <c r="C48" s="11"/>
      <c r="D48" s="12">
        <f ca="1">FORECAST(A48,$C$10:$C$45,$A$10:$A$45)</f>
        <v>2621.3074217074213</v>
      </c>
      <c r="E48" s="11"/>
      <c r="F48"/>
      <c r="G48"/>
      <c r="H48"/>
      <c r="I48"/>
      <c r="J48"/>
      <c r="K48"/>
      <c r="L48"/>
      <c r="M48"/>
      <c r="N48"/>
    </row>
    <row r="49" spans="1:14" ht="15" x14ac:dyDescent="0.25">
      <c r="F49"/>
      <c r="G49"/>
      <c r="H49"/>
      <c r="I49"/>
      <c r="J49"/>
      <c r="K49"/>
      <c r="L49"/>
      <c r="M49"/>
      <c r="N49"/>
    </row>
    <row r="51" spans="1:14" ht="15" x14ac:dyDescent="0.25">
      <c r="A51" s="2" t="s">
        <v>56</v>
      </c>
      <c r="D51" s="13">
        <f ca="1">AVERAGE(E10:E45)</f>
        <v>715.57357609710539</v>
      </c>
      <c r="E5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'SKU List'!$C$5:$C$70</xm:f>
          </x14:formula1>
          <xm:sqref>F4</xm:sqref>
        </x14:dataValidation>
        <x14:dataValidation type="list" allowBlank="1" showInputMessage="1" showErrorMessage="1">
          <x14:formula1>
            <xm:f>'SKU List'!$A$5:$A$70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76"/>
  <sheetViews>
    <sheetView zoomScale="90" zoomScaleNormal="90" workbookViewId="0">
      <selection activeCell="A5" sqref="A5"/>
    </sheetView>
  </sheetViews>
  <sheetFormatPr defaultColWidth="15.28515625" defaultRowHeight="15" x14ac:dyDescent="0.25"/>
  <cols>
    <col min="1" max="1" width="14.85546875" style="42" bestFit="1" customWidth="1"/>
    <col min="2" max="2" width="15" style="42" bestFit="1" customWidth="1"/>
    <col min="3" max="3" width="16.42578125" style="42" customWidth="1"/>
    <col min="4" max="4" width="15.28515625" style="42" customWidth="1"/>
    <col min="5" max="5" width="18.140625" style="42" customWidth="1"/>
    <col min="6" max="6" width="15.28515625" style="42" customWidth="1"/>
    <col min="7" max="7" width="16.42578125" style="42" customWidth="1"/>
    <col min="8" max="8" width="17.28515625" style="42" bestFit="1" customWidth="1"/>
    <col min="9" max="9" width="17.28515625" style="42" customWidth="1"/>
    <col min="10" max="10" width="17" style="42" bestFit="1" customWidth="1"/>
    <col min="11" max="11" width="16.5703125" style="42" customWidth="1"/>
    <col min="12" max="12" width="16.85546875" style="42" customWidth="1"/>
    <col min="13" max="13" width="17" style="42" customWidth="1"/>
    <col min="14" max="14" width="17.5703125" style="42" customWidth="1"/>
    <col min="15" max="15" width="21.42578125" style="42" customWidth="1"/>
    <col min="16" max="16" width="17.7109375" style="42" customWidth="1"/>
    <col min="17" max="17" width="18" style="42" customWidth="1"/>
    <col min="18" max="16384" width="15.28515625" style="42"/>
  </cols>
  <sheetData>
    <row r="1" spans="1:17" s="15" customFormat="1" ht="15" customHeight="1" x14ac:dyDescent="0.25">
      <c r="A1" s="79" t="s">
        <v>57</v>
      </c>
      <c r="B1" s="80"/>
      <c r="C1" s="81"/>
      <c r="D1" s="82" t="s">
        <v>58</v>
      </c>
      <c r="E1" s="83"/>
      <c r="F1" s="83"/>
      <c r="G1" s="83"/>
      <c r="H1" s="84"/>
      <c r="I1" s="85" t="s">
        <v>59</v>
      </c>
      <c r="J1" s="85"/>
      <c r="K1" s="85"/>
      <c r="L1" s="85"/>
      <c r="M1" s="85"/>
      <c r="N1" s="86" t="s">
        <v>60</v>
      </c>
      <c r="O1" s="86"/>
      <c r="P1" s="86"/>
      <c r="Q1" s="14"/>
    </row>
    <row r="2" spans="1:17" s="20" customFormat="1" ht="81" x14ac:dyDescent="0.25">
      <c r="A2" s="16" t="s">
        <v>13</v>
      </c>
      <c r="B2" s="16" t="s">
        <v>15</v>
      </c>
      <c r="C2" s="16" t="s">
        <v>61</v>
      </c>
      <c r="D2" s="17" t="s">
        <v>62</v>
      </c>
      <c r="E2" s="17" t="s">
        <v>63</v>
      </c>
      <c r="F2" s="17" t="s">
        <v>64</v>
      </c>
      <c r="G2" s="17" t="s">
        <v>65</v>
      </c>
      <c r="H2" s="17" t="s">
        <v>66</v>
      </c>
      <c r="I2" s="18" t="s">
        <v>67</v>
      </c>
      <c r="J2" s="18" t="s">
        <v>68</v>
      </c>
      <c r="K2" s="18" t="s">
        <v>69</v>
      </c>
      <c r="L2" s="18" t="s">
        <v>70</v>
      </c>
      <c r="M2" s="18" t="s">
        <v>71</v>
      </c>
      <c r="N2" s="19" t="s">
        <v>72</v>
      </c>
      <c r="O2" s="19" t="s">
        <v>73</v>
      </c>
      <c r="P2" s="19" t="s">
        <v>74</v>
      </c>
    </row>
    <row r="3" spans="1:17" s="30" customFormat="1" x14ac:dyDescent="0.25">
      <c r="A3" s="21" t="str">
        <f>'Step 1 - Trending'!B10</f>
        <v>2015 Oct</v>
      </c>
      <c r="B3" s="22">
        <f ca="1">'Step 1 - Trending'!C10</f>
        <v>0</v>
      </c>
      <c r="C3" s="23">
        <v>1</v>
      </c>
      <c r="D3" s="24"/>
      <c r="E3" s="24"/>
      <c r="F3" s="24"/>
      <c r="G3" s="25">
        <f ca="1">$B$52</f>
        <v>1.884621772757312</v>
      </c>
      <c r="H3" s="25">
        <f ca="1">IFERROR(B3/G3,0)</f>
        <v>0</v>
      </c>
      <c r="I3" s="26">
        <f ca="1">IFERROR($H$39+$H$40*C3,0)</f>
        <v>-185.64500000000001</v>
      </c>
      <c r="J3" s="26">
        <f ca="1">IFERROR(I3*G3,0)</f>
        <v>-349.87060900353123</v>
      </c>
      <c r="K3" s="26">
        <f ca="1">IFERROR(ABS(B3-J3),0)</f>
        <v>349.87060900353123</v>
      </c>
      <c r="L3" s="27">
        <f ca="1">IFERROR(IF(ABS((B3-J3)/B3)&gt;0,ABS((B3-J3)/B3),0),0)</f>
        <v>0</v>
      </c>
      <c r="M3" s="26">
        <f ca="1">IFERROR((B3-J3)^2,0)</f>
        <v>122409.44304450182</v>
      </c>
      <c r="N3" s="28">
        <f ca="1">IFERROR(B3/J3,0)</f>
        <v>0</v>
      </c>
      <c r="O3" s="29"/>
      <c r="P3" s="29"/>
    </row>
    <row r="4" spans="1:17" s="30" customFormat="1" x14ac:dyDescent="0.25">
      <c r="A4" s="21" t="str">
        <f>'Step 1 - Trending'!B11</f>
        <v>2015 Nov</v>
      </c>
      <c r="B4" s="22">
        <f ca="1">'Step 1 - Trending'!C11</f>
        <v>0</v>
      </c>
      <c r="C4" s="23">
        <v>2</v>
      </c>
      <c r="D4" s="24"/>
      <c r="E4" s="24"/>
      <c r="F4" s="24"/>
      <c r="G4" s="25">
        <f ca="1">$C$52</f>
        <v>2.0690096120453005</v>
      </c>
      <c r="H4" s="25">
        <f t="shared" ref="H4:H38" ca="1" si="0">IFERROR(B4/G4,0)</f>
        <v>0</v>
      </c>
      <c r="I4" s="26">
        <f t="shared" ref="I4:I38" ca="1" si="1">IFERROR($H$39+$H$40*C4,0)</f>
        <v>-157.56900000000002</v>
      </c>
      <c r="J4" s="26">
        <f ca="1">IFERROR(I4*G4,0)</f>
        <v>-326.011775560366</v>
      </c>
      <c r="K4" s="26">
        <f t="shared" ref="K4:K38" ca="1" si="2">IFERROR(ABS(B4-J4),0)</f>
        <v>326.011775560366</v>
      </c>
      <c r="L4" s="27">
        <f t="shared" ref="L4:L38" ca="1" si="3">IFERROR(IF(ABS((B4-J4)/B4)&gt;0,ABS((B4-J4)/B4),0),0)</f>
        <v>0</v>
      </c>
      <c r="M4" s="26">
        <f t="shared" ref="M4:M38" ca="1" si="4">IFERROR((B4-J4)^2,0)</f>
        <v>106283.67780402246</v>
      </c>
      <c r="N4" s="28">
        <f t="shared" ref="N4:N38" ca="1" si="5">IFERROR(B4/J4,0)</f>
        <v>0</v>
      </c>
      <c r="O4" s="28">
        <f ca="1">IFERROR((N3+N4+N5)/3,0)</f>
        <v>0</v>
      </c>
      <c r="P4" s="28">
        <f ca="1">IFERROR(N4/O4,0)</f>
        <v>0</v>
      </c>
    </row>
    <row r="5" spans="1:17" s="30" customFormat="1" x14ac:dyDescent="0.25">
      <c r="A5" s="21" t="str">
        <f>'Step 1 - Trending'!B12</f>
        <v>2015 Dec</v>
      </c>
      <c r="B5" s="22">
        <f ca="1">'Step 1 - Trending'!C12</f>
        <v>0</v>
      </c>
      <c r="C5" s="23">
        <v>3</v>
      </c>
      <c r="D5" s="24"/>
      <c r="E5" s="24"/>
      <c r="F5" s="25"/>
      <c r="G5" s="25">
        <f ca="1">$D$52</f>
        <v>2.9508111380376474</v>
      </c>
      <c r="H5" s="25">
        <f t="shared" ca="1" si="0"/>
        <v>0</v>
      </c>
      <c r="I5" s="26">
        <f t="shared" ca="1" si="1"/>
        <v>-129.49299999999999</v>
      </c>
      <c r="J5" s="26">
        <f t="shared" ref="J5:J38" ca="1" si="6">IFERROR(I5*G5,0)</f>
        <v>-382.10938669790903</v>
      </c>
      <c r="K5" s="26">
        <f t="shared" ca="1" si="2"/>
        <v>382.10938669790903</v>
      </c>
      <c r="L5" s="27">
        <f t="shared" ca="1" si="3"/>
        <v>0</v>
      </c>
      <c r="M5" s="26">
        <f t="shared" ca="1" si="4"/>
        <v>146007.58340265218</v>
      </c>
      <c r="N5" s="28">
        <f t="shared" ca="1" si="5"/>
        <v>0</v>
      </c>
      <c r="O5" s="28">
        <f t="shared" ref="O5:O37" ca="1" si="7">IFERROR((N4+N5+N6)/3,0)</f>
        <v>0</v>
      </c>
      <c r="P5" s="28">
        <f t="shared" ref="P5:P37" ca="1" si="8">IFERROR(N5/O5,0)</f>
        <v>0</v>
      </c>
    </row>
    <row r="6" spans="1:17" s="30" customFormat="1" x14ac:dyDescent="0.25">
      <c r="A6" s="21" t="str">
        <f>'Step 1 - Trending'!B13</f>
        <v>2016 Jan</v>
      </c>
      <c r="B6" s="22">
        <f ca="1">'Step 1 - Trending'!C13</f>
        <v>0</v>
      </c>
      <c r="C6" s="23">
        <v>4</v>
      </c>
      <c r="D6" s="24"/>
      <c r="E6" s="24"/>
      <c r="F6" s="25"/>
      <c r="G6" s="25">
        <f ca="1">$E$52</f>
        <v>1.1741594639663164</v>
      </c>
      <c r="H6" s="25">
        <f t="shared" ca="1" si="0"/>
        <v>0</v>
      </c>
      <c r="I6" s="26">
        <f t="shared" ca="1" si="1"/>
        <v>-101.417</v>
      </c>
      <c r="J6" s="26">
        <f t="shared" ca="1" si="6"/>
        <v>-119.07973035707191</v>
      </c>
      <c r="K6" s="26">
        <f t="shared" ca="1" si="2"/>
        <v>119.07973035707191</v>
      </c>
      <c r="L6" s="27">
        <f t="shared" ca="1" si="3"/>
        <v>0</v>
      </c>
      <c r="M6" s="26">
        <f t="shared" ca="1" si="4"/>
        <v>14179.982181912954</v>
      </c>
      <c r="N6" s="28">
        <f t="shared" ca="1" si="5"/>
        <v>0</v>
      </c>
      <c r="O6" s="28">
        <f t="shared" ca="1" si="7"/>
        <v>0</v>
      </c>
      <c r="P6" s="28">
        <f t="shared" ca="1" si="8"/>
        <v>0</v>
      </c>
    </row>
    <row r="7" spans="1:17" s="30" customFormat="1" x14ac:dyDescent="0.25">
      <c r="A7" s="21" t="str">
        <f>'Step 1 - Trending'!B14</f>
        <v>2016 Feb</v>
      </c>
      <c r="B7" s="22">
        <f ca="1">'Step 1 - Trending'!C14</f>
        <v>0</v>
      </c>
      <c r="C7" s="23">
        <v>5</v>
      </c>
      <c r="D7" s="24"/>
      <c r="E7" s="24"/>
      <c r="F7" s="25"/>
      <c r="G7" s="25">
        <f ca="1">$F$52</f>
        <v>0.1160084301848133</v>
      </c>
      <c r="H7" s="25">
        <f t="shared" ca="1" si="0"/>
        <v>0</v>
      </c>
      <c r="I7" s="26">
        <f t="shared" ca="1" si="1"/>
        <v>-73.341000000000008</v>
      </c>
      <c r="J7" s="26">
        <f t="shared" ca="1" si="6"/>
        <v>-8.5081742781843932</v>
      </c>
      <c r="K7" s="26">
        <f t="shared" ca="1" si="2"/>
        <v>8.5081742781843932</v>
      </c>
      <c r="L7" s="27">
        <f t="shared" ca="1" si="3"/>
        <v>0</v>
      </c>
      <c r="M7" s="26">
        <f t="shared" ca="1" si="4"/>
        <v>72.389029547958515</v>
      </c>
      <c r="N7" s="28">
        <f t="shared" ca="1" si="5"/>
        <v>0</v>
      </c>
      <c r="O7" s="28">
        <f t="shared" ca="1" si="7"/>
        <v>0</v>
      </c>
      <c r="P7" s="28">
        <f t="shared" ca="1" si="8"/>
        <v>0</v>
      </c>
    </row>
    <row r="8" spans="1:17" s="30" customFormat="1" x14ac:dyDescent="0.25">
      <c r="A8" s="21" t="str">
        <f>'Step 1 - Trending'!B15</f>
        <v>2016 Mar</v>
      </c>
      <c r="B8" s="22">
        <f ca="1">'Step 1 - Trending'!C15</f>
        <v>0</v>
      </c>
      <c r="C8" s="23">
        <v>6</v>
      </c>
      <c r="D8" s="25">
        <f ca="1">(B3+B4+B5+B6+B7+B8+B9+B10+B11+B12+B13+B14)/12</f>
        <v>0</v>
      </c>
      <c r="E8" s="24"/>
      <c r="F8" s="25"/>
      <c r="G8" s="25">
        <f ca="1">$G$52</f>
        <v>1.0585998305071247</v>
      </c>
      <c r="H8" s="25">
        <f t="shared" ca="1" si="0"/>
        <v>0</v>
      </c>
      <c r="I8" s="26">
        <f t="shared" ca="1" si="1"/>
        <v>-45.264999999999986</v>
      </c>
      <c r="J8" s="26">
        <f t="shared" ca="1" si="6"/>
        <v>-47.917521327904986</v>
      </c>
      <c r="K8" s="26">
        <f t="shared" ca="1" si="2"/>
        <v>47.917521327904986</v>
      </c>
      <c r="L8" s="27">
        <f t="shared" ca="1" si="3"/>
        <v>0</v>
      </c>
      <c r="M8" s="26">
        <f t="shared" ca="1" si="4"/>
        <v>2296.0888502102293</v>
      </c>
      <c r="N8" s="28">
        <f t="shared" ca="1" si="5"/>
        <v>0</v>
      </c>
      <c r="O8" s="28">
        <f t="shared" ca="1" si="7"/>
        <v>0</v>
      </c>
      <c r="P8" s="28">
        <f t="shared" ca="1" si="8"/>
        <v>0</v>
      </c>
    </row>
    <row r="9" spans="1:17" s="30" customFormat="1" x14ac:dyDescent="0.25">
      <c r="A9" s="21" t="str">
        <f>'Step 1 - Trending'!B16</f>
        <v>2016 Apr</v>
      </c>
      <c r="B9" s="22">
        <f ca="1">'Step 1 - Trending'!C16</f>
        <v>0</v>
      </c>
      <c r="C9" s="23">
        <v>7</v>
      </c>
      <c r="D9" s="25">
        <f ca="1">(B4+B5+B6+B7+B8+B9+B10+B11+B12+B13+B14+B15)/12</f>
        <v>0</v>
      </c>
      <c r="E9" s="25">
        <f ca="1">(D8+D9)/2</f>
        <v>0</v>
      </c>
      <c r="F9" s="31">
        <f ca="1">IFERROR(B9/E9,0)</f>
        <v>0</v>
      </c>
      <c r="G9" s="25">
        <f ca="1">$H$52</f>
        <v>0</v>
      </c>
      <c r="H9" s="25">
        <f t="shared" ca="1" si="0"/>
        <v>0</v>
      </c>
      <c r="I9" s="26">
        <f t="shared" ca="1" si="1"/>
        <v>-17.188999999999993</v>
      </c>
      <c r="J9" s="26">
        <f t="shared" ca="1" si="6"/>
        <v>0</v>
      </c>
      <c r="K9" s="26">
        <f t="shared" ca="1" si="2"/>
        <v>0</v>
      </c>
      <c r="L9" s="27">
        <f t="shared" ca="1" si="3"/>
        <v>0</v>
      </c>
      <c r="M9" s="26">
        <f t="shared" ca="1" si="4"/>
        <v>0</v>
      </c>
      <c r="N9" s="28">
        <f t="shared" ca="1" si="5"/>
        <v>0</v>
      </c>
      <c r="O9" s="28">
        <f t="shared" ca="1" si="7"/>
        <v>0</v>
      </c>
      <c r="P9" s="28">
        <f t="shared" ca="1" si="8"/>
        <v>0</v>
      </c>
    </row>
    <row r="10" spans="1:17" s="30" customFormat="1" x14ac:dyDescent="0.25">
      <c r="A10" s="21" t="str">
        <f>'Step 1 - Trending'!B17</f>
        <v>2016 May</v>
      </c>
      <c r="B10" s="22">
        <f ca="1">'Step 1 - Trending'!C17</f>
        <v>0</v>
      </c>
      <c r="C10" s="23">
        <v>8</v>
      </c>
      <c r="D10" s="25">
        <f t="shared" ref="D10:D31" ca="1" si="9">(B5+B6+B7+B8+B9+B10+B11+B12+B13+B14+B15+B16)/12</f>
        <v>0</v>
      </c>
      <c r="E10" s="25">
        <f t="shared" ref="E10:E32" ca="1" si="10">(D9+D10)/2</f>
        <v>0</v>
      </c>
      <c r="F10" s="31">
        <f t="shared" ref="F10:F32" ca="1" si="11">IFERROR(B10/E10,0)</f>
        <v>0</v>
      </c>
      <c r="G10" s="25">
        <f ca="1">$I$52</f>
        <v>0</v>
      </c>
      <c r="H10" s="25">
        <f t="shared" ca="1" si="0"/>
        <v>0</v>
      </c>
      <c r="I10" s="26">
        <f t="shared" ca="1" si="1"/>
        <v>10.887</v>
      </c>
      <c r="J10" s="26">
        <f t="shared" ca="1" si="6"/>
        <v>0</v>
      </c>
      <c r="K10" s="26">
        <f t="shared" ca="1" si="2"/>
        <v>0</v>
      </c>
      <c r="L10" s="27">
        <f t="shared" ca="1" si="3"/>
        <v>0</v>
      </c>
      <c r="M10" s="26">
        <f t="shared" ca="1" si="4"/>
        <v>0</v>
      </c>
      <c r="N10" s="28">
        <f t="shared" ca="1" si="5"/>
        <v>0</v>
      </c>
      <c r="O10" s="28">
        <f t="shared" ca="1" si="7"/>
        <v>0</v>
      </c>
      <c r="P10" s="28">
        <f t="shared" ca="1" si="8"/>
        <v>0</v>
      </c>
    </row>
    <row r="11" spans="1:17" s="30" customFormat="1" x14ac:dyDescent="0.25">
      <c r="A11" s="21" t="str">
        <f>'Step 1 - Trending'!B18</f>
        <v>2016 Jun</v>
      </c>
      <c r="B11" s="22">
        <f ca="1">'Step 1 - Trending'!C18</f>
        <v>0</v>
      </c>
      <c r="C11" s="23">
        <v>9</v>
      </c>
      <c r="D11" s="25">
        <f t="shared" ca="1" si="9"/>
        <v>0</v>
      </c>
      <c r="E11" s="25">
        <f t="shared" ca="1" si="10"/>
        <v>0</v>
      </c>
      <c r="F11" s="31">
        <f t="shared" ca="1" si="11"/>
        <v>0</v>
      </c>
      <c r="G11" s="25">
        <f ca="1">$J$52</f>
        <v>0</v>
      </c>
      <c r="H11" s="25">
        <f t="shared" ca="1" si="0"/>
        <v>0</v>
      </c>
      <c r="I11" s="26">
        <f t="shared" ca="1" si="1"/>
        <v>38.962999999999994</v>
      </c>
      <c r="J11" s="26">
        <f t="shared" ca="1" si="6"/>
        <v>0</v>
      </c>
      <c r="K11" s="26">
        <f t="shared" ca="1" si="2"/>
        <v>0</v>
      </c>
      <c r="L11" s="27">
        <f t="shared" ca="1" si="3"/>
        <v>0</v>
      </c>
      <c r="M11" s="26">
        <f t="shared" ca="1" si="4"/>
        <v>0</v>
      </c>
      <c r="N11" s="28">
        <f t="shared" ca="1" si="5"/>
        <v>0</v>
      </c>
      <c r="O11" s="28">
        <f t="shared" ca="1" si="7"/>
        <v>0</v>
      </c>
      <c r="P11" s="28">
        <f t="shared" ca="1" si="8"/>
        <v>0</v>
      </c>
    </row>
    <row r="12" spans="1:17" s="30" customFormat="1" x14ac:dyDescent="0.25">
      <c r="A12" s="21" t="str">
        <f>'Step 1 - Trending'!B19</f>
        <v>2016 Jul</v>
      </c>
      <c r="B12" s="22">
        <f ca="1">'Step 1 - Trending'!C19</f>
        <v>0</v>
      </c>
      <c r="C12" s="23">
        <v>10</v>
      </c>
      <c r="D12" s="25">
        <f t="shared" ca="1" si="9"/>
        <v>0</v>
      </c>
      <c r="E12" s="25">
        <f t="shared" ca="1" si="10"/>
        <v>0</v>
      </c>
      <c r="F12" s="31">
        <f t="shared" ca="1" si="11"/>
        <v>0</v>
      </c>
      <c r="G12" s="25">
        <f ca="1">$K$52</f>
        <v>0</v>
      </c>
      <c r="H12" s="25">
        <f t="shared" ca="1" si="0"/>
        <v>0</v>
      </c>
      <c r="I12" s="26">
        <f t="shared" ca="1" si="1"/>
        <v>67.038999999999987</v>
      </c>
      <c r="J12" s="26">
        <f t="shared" ca="1" si="6"/>
        <v>0</v>
      </c>
      <c r="K12" s="26">
        <f t="shared" ca="1" si="2"/>
        <v>0</v>
      </c>
      <c r="L12" s="27">
        <f t="shared" ca="1" si="3"/>
        <v>0</v>
      </c>
      <c r="M12" s="26">
        <f t="shared" ca="1" si="4"/>
        <v>0</v>
      </c>
      <c r="N12" s="28">
        <f t="shared" ca="1" si="5"/>
        <v>0</v>
      </c>
      <c r="O12" s="28">
        <f t="shared" ca="1" si="7"/>
        <v>0</v>
      </c>
      <c r="P12" s="28">
        <f t="shared" ca="1" si="8"/>
        <v>0</v>
      </c>
    </row>
    <row r="13" spans="1:17" s="30" customFormat="1" x14ac:dyDescent="0.25">
      <c r="A13" s="21" t="str">
        <f>'Step 1 - Trending'!B20</f>
        <v>2016 Aug</v>
      </c>
      <c r="B13" s="22">
        <f ca="1">'Step 1 - Trending'!C20</f>
        <v>0</v>
      </c>
      <c r="C13" s="23">
        <v>11</v>
      </c>
      <c r="D13" s="25">
        <f t="shared" ca="1" si="9"/>
        <v>0</v>
      </c>
      <c r="E13" s="25">
        <f t="shared" ca="1" si="10"/>
        <v>0</v>
      </c>
      <c r="F13" s="31">
        <f t="shared" ca="1" si="11"/>
        <v>0</v>
      </c>
      <c r="G13" s="25">
        <f ca="1">$L$52</f>
        <v>0</v>
      </c>
      <c r="H13" s="25">
        <f t="shared" ca="1" si="0"/>
        <v>0</v>
      </c>
      <c r="I13" s="26">
        <f t="shared" ca="1" si="1"/>
        <v>95.115000000000009</v>
      </c>
      <c r="J13" s="26">
        <f t="shared" ca="1" si="6"/>
        <v>0</v>
      </c>
      <c r="K13" s="26">
        <f t="shared" ca="1" si="2"/>
        <v>0</v>
      </c>
      <c r="L13" s="27">
        <f t="shared" ca="1" si="3"/>
        <v>0</v>
      </c>
      <c r="M13" s="26">
        <f t="shared" ca="1" si="4"/>
        <v>0</v>
      </c>
      <c r="N13" s="28">
        <f t="shared" ca="1" si="5"/>
        <v>0</v>
      </c>
      <c r="O13" s="28">
        <f t="shared" ca="1" si="7"/>
        <v>0</v>
      </c>
      <c r="P13" s="28">
        <f t="shared" ca="1" si="8"/>
        <v>0</v>
      </c>
    </row>
    <row r="14" spans="1:17" s="30" customFormat="1" x14ac:dyDescent="0.25">
      <c r="A14" s="21" t="str">
        <f>'Step 1 - Trending'!B21</f>
        <v>2016 Sep</v>
      </c>
      <c r="B14" s="22">
        <f ca="1">'Step 1 - Trending'!C21</f>
        <v>0</v>
      </c>
      <c r="C14" s="23">
        <v>12</v>
      </c>
      <c r="D14" s="25">
        <f t="shared" ca="1" si="9"/>
        <v>0</v>
      </c>
      <c r="E14" s="25">
        <f t="shared" ca="1" si="10"/>
        <v>0</v>
      </c>
      <c r="F14" s="31">
        <f t="shared" ca="1" si="11"/>
        <v>0</v>
      </c>
      <c r="G14" s="25">
        <f ca="1">$M$52</f>
        <v>2.746789752501487</v>
      </c>
      <c r="H14" s="25">
        <f t="shared" ca="1" si="0"/>
        <v>0</v>
      </c>
      <c r="I14" s="26">
        <f t="shared" ca="1" si="1"/>
        <v>123.19100000000003</v>
      </c>
      <c r="J14" s="26">
        <f t="shared" ca="1" si="6"/>
        <v>338.37977640041078</v>
      </c>
      <c r="K14" s="26">
        <f t="shared" ca="1" si="2"/>
        <v>338.37977640041078</v>
      </c>
      <c r="L14" s="27">
        <f t="shared" ca="1" si="3"/>
        <v>0</v>
      </c>
      <c r="M14" s="26">
        <f t="shared" ca="1" si="4"/>
        <v>114500.87307679199</v>
      </c>
      <c r="N14" s="28">
        <f t="shared" ca="1" si="5"/>
        <v>0</v>
      </c>
      <c r="O14" s="28">
        <f t="shared" ca="1" si="7"/>
        <v>0</v>
      </c>
      <c r="P14" s="28">
        <f t="shared" ca="1" si="8"/>
        <v>0</v>
      </c>
    </row>
    <row r="15" spans="1:17" s="35" customFormat="1" x14ac:dyDescent="0.25">
      <c r="A15" s="32" t="str">
        <f>'Step 1 - Trending'!B22</f>
        <v>2016 Oct</v>
      </c>
      <c r="B15" s="76">
        <f ca="1">'Step 1 - Trending'!C22</f>
        <v>0</v>
      </c>
      <c r="C15" s="33">
        <v>13</v>
      </c>
      <c r="D15" s="34">
        <f t="shared" ca="1" si="9"/>
        <v>0</v>
      </c>
      <c r="E15" s="34">
        <f t="shared" ca="1" si="10"/>
        <v>0</v>
      </c>
      <c r="F15" s="31">
        <f t="shared" ca="1" si="11"/>
        <v>0</v>
      </c>
      <c r="G15" s="34">
        <f ca="1">$B$52</f>
        <v>1.884621772757312</v>
      </c>
      <c r="H15" s="25">
        <f t="shared" ca="1" si="0"/>
        <v>0</v>
      </c>
      <c r="I15" s="26">
        <f ca="1">IFERROR($H$39+$H$40*C15,0)</f>
        <v>151.267</v>
      </c>
      <c r="J15" s="26">
        <f t="shared" ca="1" si="6"/>
        <v>285.08108169968028</v>
      </c>
      <c r="K15" s="26">
        <f t="shared" ca="1" si="2"/>
        <v>285.08108169968028</v>
      </c>
      <c r="L15" s="27">
        <f t="shared" ca="1" si="3"/>
        <v>0</v>
      </c>
      <c r="M15" s="26">
        <f t="shared" ca="1" si="4"/>
        <v>81271.223143059789</v>
      </c>
      <c r="N15" s="28">
        <f t="shared" ca="1" si="5"/>
        <v>0</v>
      </c>
      <c r="O15" s="28">
        <f t="shared" ca="1" si="7"/>
        <v>0</v>
      </c>
      <c r="P15" s="28">
        <f t="shared" ca="1" si="8"/>
        <v>0</v>
      </c>
    </row>
    <row r="16" spans="1:17" s="35" customFormat="1" x14ac:dyDescent="0.25">
      <c r="A16" s="32" t="str">
        <f>'Step 1 - Trending'!B23</f>
        <v>2016 Nov</v>
      </c>
      <c r="B16" s="76">
        <f ca="1">'Step 1 - Trending'!C23</f>
        <v>0</v>
      </c>
      <c r="C16" s="33">
        <v>14</v>
      </c>
      <c r="D16" s="34">
        <f t="shared" ca="1" si="9"/>
        <v>0</v>
      </c>
      <c r="E16" s="34">
        <f t="shared" ca="1" si="10"/>
        <v>0</v>
      </c>
      <c r="F16" s="31">
        <f t="shared" ca="1" si="11"/>
        <v>0</v>
      </c>
      <c r="G16" s="34">
        <f ca="1">$C$52</f>
        <v>2.0690096120453005</v>
      </c>
      <c r="H16" s="25">
        <f t="shared" ca="1" si="0"/>
        <v>0</v>
      </c>
      <c r="I16" s="26">
        <f t="shared" ca="1" si="1"/>
        <v>179.34300000000002</v>
      </c>
      <c r="J16" s="26">
        <f t="shared" ca="1" si="6"/>
        <v>371.06239085304037</v>
      </c>
      <c r="K16" s="26">
        <f t="shared" ca="1" si="2"/>
        <v>371.06239085304037</v>
      </c>
      <c r="L16" s="27">
        <f t="shared" ca="1" si="3"/>
        <v>0</v>
      </c>
      <c r="M16" s="26">
        <f t="shared" ca="1" si="4"/>
        <v>137687.29790557449</v>
      </c>
      <c r="N16" s="28">
        <f t="shared" ca="1" si="5"/>
        <v>0</v>
      </c>
      <c r="O16" s="28">
        <f t="shared" ca="1" si="7"/>
        <v>0</v>
      </c>
      <c r="P16" s="28">
        <f t="shared" ca="1" si="8"/>
        <v>0</v>
      </c>
    </row>
    <row r="17" spans="1:16" s="35" customFormat="1" x14ac:dyDescent="0.25">
      <c r="A17" s="32" t="str">
        <f>'Step 1 - Trending'!B24</f>
        <v>2016 Dec</v>
      </c>
      <c r="B17" s="76">
        <f ca="1">'Step 1 - Trending'!C24</f>
        <v>0</v>
      </c>
      <c r="C17" s="33">
        <v>15</v>
      </c>
      <c r="D17" s="34">
        <f t="shared" ca="1" si="9"/>
        <v>0</v>
      </c>
      <c r="E17" s="34">
        <f t="shared" ca="1" si="10"/>
        <v>0</v>
      </c>
      <c r="F17" s="31">
        <f t="shared" ca="1" si="11"/>
        <v>0</v>
      </c>
      <c r="G17" s="34">
        <f ca="1">$D$52</f>
        <v>2.9508111380376474</v>
      </c>
      <c r="H17" s="25">
        <f t="shared" ca="1" si="0"/>
        <v>0</v>
      </c>
      <c r="I17" s="26">
        <f t="shared" ca="1" si="1"/>
        <v>207.41899999999998</v>
      </c>
      <c r="J17" s="26">
        <f t="shared" ca="1" si="6"/>
        <v>612.05429544063077</v>
      </c>
      <c r="K17" s="26">
        <f t="shared" ca="1" si="2"/>
        <v>612.05429544063077</v>
      </c>
      <c r="L17" s="27">
        <f t="shared" ca="1" si="3"/>
        <v>0</v>
      </c>
      <c r="M17" s="26">
        <f t="shared" ca="1" si="4"/>
        <v>374610.46056732693</v>
      </c>
      <c r="N17" s="28">
        <f t="shared" ca="1" si="5"/>
        <v>0</v>
      </c>
      <c r="O17" s="28">
        <f t="shared" ca="1" si="7"/>
        <v>0</v>
      </c>
      <c r="P17" s="28">
        <f t="shared" ca="1" si="8"/>
        <v>0</v>
      </c>
    </row>
    <row r="18" spans="1:16" s="35" customFormat="1" x14ac:dyDescent="0.25">
      <c r="A18" s="32" t="str">
        <f>'Step 1 - Trending'!B25</f>
        <v>2017 Jan</v>
      </c>
      <c r="B18" s="76">
        <f ca="1">'Step 1 - Trending'!C25</f>
        <v>0</v>
      </c>
      <c r="C18" s="33">
        <v>16</v>
      </c>
      <c r="D18" s="34">
        <f t="shared" ca="1" si="9"/>
        <v>0</v>
      </c>
      <c r="E18" s="34">
        <f t="shared" ca="1" si="10"/>
        <v>0</v>
      </c>
      <c r="F18" s="31">
        <f t="shared" ca="1" si="11"/>
        <v>0</v>
      </c>
      <c r="G18" s="34">
        <f ca="1">$E$52</f>
        <v>1.1741594639663164</v>
      </c>
      <c r="H18" s="25">
        <f t="shared" ca="1" si="0"/>
        <v>0</v>
      </c>
      <c r="I18" s="26">
        <f t="shared" ca="1" si="1"/>
        <v>235.495</v>
      </c>
      <c r="J18" s="26">
        <f t="shared" ca="1" si="6"/>
        <v>276.5086829667477</v>
      </c>
      <c r="K18" s="26">
        <f t="shared" ca="1" si="2"/>
        <v>276.5086829667477</v>
      </c>
      <c r="L18" s="27">
        <f t="shared" ca="1" si="3"/>
        <v>0</v>
      </c>
      <c r="M18" s="26">
        <f t="shared" ca="1" si="4"/>
        <v>76457.051756005385</v>
      </c>
      <c r="N18" s="28">
        <f t="shared" ca="1" si="5"/>
        <v>0</v>
      </c>
      <c r="O18" s="28">
        <f t="shared" ca="1" si="7"/>
        <v>0</v>
      </c>
      <c r="P18" s="28">
        <f t="shared" ca="1" si="8"/>
        <v>0</v>
      </c>
    </row>
    <row r="19" spans="1:16" s="35" customFormat="1" x14ac:dyDescent="0.25">
      <c r="A19" s="32" t="str">
        <f>'Step 1 - Trending'!B26</f>
        <v>2017 Feb</v>
      </c>
      <c r="B19" s="76">
        <f ca="1">'Step 1 - Trending'!C26</f>
        <v>0</v>
      </c>
      <c r="C19" s="33">
        <v>17</v>
      </c>
      <c r="D19" s="34">
        <f t="shared" ca="1" si="9"/>
        <v>0</v>
      </c>
      <c r="E19" s="34">
        <f t="shared" ca="1" si="10"/>
        <v>0</v>
      </c>
      <c r="F19" s="31">
        <f t="shared" ca="1" si="11"/>
        <v>0</v>
      </c>
      <c r="G19" s="34">
        <f ca="1">$F$52</f>
        <v>0.1160084301848133</v>
      </c>
      <c r="H19" s="25">
        <f t="shared" ca="1" si="0"/>
        <v>0</v>
      </c>
      <c r="I19" s="26">
        <f t="shared" ca="1" si="1"/>
        <v>263.57100000000003</v>
      </c>
      <c r="J19" s="26">
        <f t="shared" ca="1" si="6"/>
        <v>30.57645795224143</v>
      </c>
      <c r="K19" s="26">
        <f t="shared" ca="1" si="2"/>
        <v>30.57645795224143</v>
      </c>
      <c r="L19" s="27">
        <f t="shared" ca="1" si="3"/>
        <v>0</v>
      </c>
      <c r="M19" s="26">
        <f t="shared" ca="1" si="4"/>
        <v>934.91978090518819</v>
      </c>
      <c r="N19" s="28">
        <f t="shared" ca="1" si="5"/>
        <v>0</v>
      </c>
      <c r="O19" s="28">
        <f t="shared" ca="1" si="7"/>
        <v>0</v>
      </c>
      <c r="P19" s="28">
        <f t="shared" ca="1" si="8"/>
        <v>0</v>
      </c>
    </row>
    <row r="20" spans="1:16" s="35" customFormat="1" x14ac:dyDescent="0.25">
      <c r="A20" s="32" t="str">
        <f>'Step 1 - Trending'!B27</f>
        <v>2017 Mar</v>
      </c>
      <c r="B20" s="76">
        <f ca="1">'Step 1 - Trending'!C27</f>
        <v>0</v>
      </c>
      <c r="C20" s="33">
        <v>18</v>
      </c>
      <c r="D20" s="34">
        <f t="shared" ca="1" si="9"/>
        <v>228.33333333333334</v>
      </c>
      <c r="E20" s="34">
        <f t="shared" ca="1" si="10"/>
        <v>114.16666666666667</v>
      </c>
      <c r="F20" s="31">
        <f t="shared" ca="1" si="11"/>
        <v>0</v>
      </c>
      <c r="G20" s="34">
        <f ca="1">$G$52</f>
        <v>1.0585998305071247</v>
      </c>
      <c r="H20" s="25">
        <f t="shared" ca="1" si="0"/>
        <v>0</v>
      </c>
      <c r="I20" s="26">
        <f t="shared" ca="1" si="1"/>
        <v>291.64699999999999</v>
      </c>
      <c r="J20" s="26">
        <f t="shared" ca="1" si="6"/>
        <v>308.73746476791138</v>
      </c>
      <c r="K20" s="26">
        <f t="shared" ca="1" si="2"/>
        <v>308.73746476791138</v>
      </c>
      <c r="L20" s="27">
        <f t="shared" ca="1" si="3"/>
        <v>0</v>
      </c>
      <c r="M20" s="26">
        <f t="shared" ca="1" si="4"/>
        <v>95318.822151317319</v>
      </c>
      <c r="N20" s="28">
        <f t="shared" ca="1" si="5"/>
        <v>0</v>
      </c>
      <c r="O20" s="28">
        <f t="shared" ca="1" si="7"/>
        <v>0</v>
      </c>
      <c r="P20" s="28">
        <f t="shared" ca="1" si="8"/>
        <v>0</v>
      </c>
    </row>
    <row r="21" spans="1:16" s="35" customFormat="1" x14ac:dyDescent="0.25">
      <c r="A21" s="32" t="str">
        <f>'Step 1 - Trending'!B28</f>
        <v>2017 Apr</v>
      </c>
      <c r="B21" s="76">
        <f ca="1">'Step 1 - Trending'!C28</f>
        <v>0</v>
      </c>
      <c r="C21" s="33">
        <v>19</v>
      </c>
      <c r="D21" s="34">
        <f t="shared" ca="1" si="9"/>
        <v>404.83333333333331</v>
      </c>
      <c r="E21" s="34">
        <f t="shared" ca="1" si="10"/>
        <v>316.58333333333331</v>
      </c>
      <c r="F21" s="31">
        <f t="shared" ca="1" si="11"/>
        <v>0</v>
      </c>
      <c r="G21" s="34">
        <f ca="1">$H$52</f>
        <v>0</v>
      </c>
      <c r="H21" s="25">
        <f t="shared" ca="1" si="0"/>
        <v>0</v>
      </c>
      <c r="I21" s="26">
        <f t="shared" ca="1" si="1"/>
        <v>319.72299999999996</v>
      </c>
      <c r="J21" s="26">
        <f t="shared" ca="1" si="6"/>
        <v>0</v>
      </c>
      <c r="K21" s="26">
        <f t="shared" ca="1" si="2"/>
        <v>0</v>
      </c>
      <c r="L21" s="27">
        <f t="shared" ca="1" si="3"/>
        <v>0</v>
      </c>
      <c r="M21" s="26">
        <f t="shared" ca="1" si="4"/>
        <v>0</v>
      </c>
      <c r="N21" s="28">
        <f t="shared" ca="1" si="5"/>
        <v>0</v>
      </c>
      <c r="O21" s="28">
        <f t="shared" ca="1" si="7"/>
        <v>0</v>
      </c>
      <c r="P21" s="28">
        <f t="shared" ca="1" si="8"/>
        <v>0</v>
      </c>
    </row>
    <row r="22" spans="1:16" s="35" customFormat="1" x14ac:dyDescent="0.25">
      <c r="A22" s="32" t="str">
        <f>'Step 1 - Trending'!B29</f>
        <v>2017 May</v>
      </c>
      <c r="B22" s="76">
        <f ca="1">'Step 1 - Trending'!C29</f>
        <v>0</v>
      </c>
      <c r="C22" s="33">
        <v>20</v>
      </c>
      <c r="D22" s="34">
        <f t="shared" ca="1" si="9"/>
        <v>610.66666666666663</v>
      </c>
      <c r="E22" s="34">
        <f t="shared" ca="1" si="10"/>
        <v>507.75</v>
      </c>
      <c r="F22" s="31">
        <f t="shared" ca="1" si="11"/>
        <v>0</v>
      </c>
      <c r="G22" s="34">
        <f ca="1">$I$52</f>
        <v>0</v>
      </c>
      <c r="H22" s="25">
        <f t="shared" ca="1" si="0"/>
        <v>0</v>
      </c>
      <c r="I22" s="26">
        <f t="shared" ca="1" si="1"/>
        <v>347.79899999999998</v>
      </c>
      <c r="J22" s="26">
        <f t="shared" ca="1" si="6"/>
        <v>0</v>
      </c>
      <c r="K22" s="26">
        <f t="shared" ca="1" si="2"/>
        <v>0</v>
      </c>
      <c r="L22" s="27">
        <f t="shared" ca="1" si="3"/>
        <v>0</v>
      </c>
      <c r="M22" s="26">
        <f t="shared" ca="1" si="4"/>
        <v>0</v>
      </c>
      <c r="N22" s="28">
        <f t="shared" ca="1" si="5"/>
        <v>0</v>
      </c>
      <c r="O22" s="28">
        <f t="shared" ca="1" si="7"/>
        <v>0</v>
      </c>
      <c r="P22" s="28">
        <f t="shared" ca="1" si="8"/>
        <v>0</v>
      </c>
    </row>
    <row r="23" spans="1:16" s="35" customFormat="1" x14ac:dyDescent="0.25">
      <c r="A23" s="32" t="str">
        <f>'Step 1 - Trending'!B30</f>
        <v>2017 Jun</v>
      </c>
      <c r="B23" s="76">
        <f ca="1">'Step 1 - Trending'!C30</f>
        <v>0</v>
      </c>
      <c r="C23" s="33">
        <v>21</v>
      </c>
      <c r="D23" s="34">
        <f t="shared" ca="1" si="9"/>
        <v>940.58333333333337</v>
      </c>
      <c r="E23" s="34">
        <f t="shared" ca="1" si="10"/>
        <v>775.625</v>
      </c>
      <c r="F23" s="31">
        <f t="shared" ca="1" si="11"/>
        <v>0</v>
      </c>
      <c r="G23" s="34">
        <f ca="1">$J$52</f>
        <v>0</v>
      </c>
      <c r="H23" s="25">
        <f t="shared" ca="1" si="0"/>
        <v>0</v>
      </c>
      <c r="I23" s="26">
        <f t="shared" ca="1" si="1"/>
        <v>375.875</v>
      </c>
      <c r="J23" s="26">
        <f t="shared" ca="1" si="6"/>
        <v>0</v>
      </c>
      <c r="K23" s="26">
        <f t="shared" ca="1" si="2"/>
        <v>0</v>
      </c>
      <c r="L23" s="27">
        <f t="shared" ca="1" si="3"/>
        <v>0</v>
      </c>
      <c r="M23" s="26">
        <f t="shared" ca="1" si="4"/>
        <v>0</v>
      </c>
      <c r="N23" s="28">
        <f t="shared" ca="1" si="5"/>
        <v>0</v>
      </c>
      <c r="O23" s="28">
        <f t="shared" ca="1" si="7"/>
        <v>0</v>
      </c>
      <c r="P23" s="28">
        <f t="shared" ca="1" si="8"/>
        <v>0</v>
      </c>
    </row>
    <row r="24" spans="1:16" s="35" customFormat="1" x14ac:dyDescent="0.25">
      <c r="A24" s="32" t="str">
        <f>'Step 1 - Trending'!B31</f>
        <v>2017 Jul</v>
      </c>
      <c r="B24" s="76">
        <f ca="1">'Step 1 - Trending'!C31</f>
        <v>0</v>
      </c>
      <c r="C24" s="33">
        <v>22</v>
      </c>
      <c r="D24" s="34">
        <f t="shared" ca="1" si="9"/>
        <v>1090.5833333333333</v>
      </c>
      <c r="E24" s="34">
        <f t="shared" ca="1" si="10"/>
        <v>1015.5833333333333</v>
      </c>
      <c r="F24" s="31">
        <f t="shared" ca="1" si="11"/>
        <v>0</v>
      </c>
      <c r="G24" s="34">
        <f ca="1">$K$52</f>
        <v>0</v>
      </c>
      <c r="H24" s="25">
        <f t="shared" ca="1" si="0"/>
        <v>0</v>
      </c>
      <c r="I24" s="26">
        <f t="shared" ca="1" si="1"/>
        <v>403.95100000000002</v>
      </c>
      <c r="J24" s="26">
        <f t="shared" ca="1" si="6"/>
        <v>0</v>
      </c>
      <c r="K24" s="26">
        <f t="shared" ca="1" si="2"/>
        <v>0</v>
      </c>
      <c r="L24" s="27">
        <f t="shared" ca="1" si="3"/>
        <v>0</v>
      </c>
      <c r="M24" s="26">
        <f t="shared" ca="1" si="4"/>
        <v>0</v>
      </c>
      <c r="N24" s="28">
        <f t="shared" ca="1" si="5"/>
        <v>0</v>
      </c>
      <c r="O24" s="28">
        <f t="shared" ca="1" si="7"/>
        <v>0</v>
      </c>
      <c r="P24" s="28">
        <f t="shared" ca="1" si="8"/>
        <v>0</v>
      </c>
    </row>
    <row r="25" spans="1:16" s="35" customFormat="1" x14ac:dyDescent="0.25">
      <c r="A25" s="32" t="str">
        <f>'Step 1 - Trending'!B32</f>
        <v>2017 Aug</v>
      </c>
      <c r="B25" s="76">
        <f ca="1">'Step 1 - Trending'!C32</f>
        <v>0</v>
      </c>
      <c r="C25" s="33">
        <v>23</v>
      </c>
      <c r="D25" s="34">
        <f t="shared" ca="1" si="9"/>
        <v>1107</v>
      </c>
      <c r="E25" s="34">
        <f t="shared" ca="1" si="10"/>
        <v>1098.7916666666665</v>
      </c>
      <c r="F25" s="31">
        <f t="shared" ca="1" si="11"/>
        <v>0</v>
      </c>
      <c r="G25" s="34">
        <f ca="1">$L$52</f>
        <v>0</v>
      </c>
      <c r="H25" s="25">
        <f t="shared" ca="1" si="0"/>
        <v>0</v>
      </c>
      <c r="I25" s="26">
        <f t="shared" ca="1" si="1"/>
        <v>432.02700000000004</v>
      </c>
      <c r="J25" s="26">
        <f t="shared" ca="1" si="6"/>
        <v>0</v>
      </c>
      <c r="K25" s="26">
        <f t="shared" ca="1" si="2"/>
        <v>0</v>
      </c>
      <c r="L25" s="27">
        <f t="shared" ca="1" si="3"/>
        <v>0</v>
      </c>
      <c r="M25" s="26">
        <f t="shared" ca="1" si="4"/>
        <v>0</v>
      </c>
      <c r="N25" s="28">
        <f t="shared" ca="1" si="5"/>
        <v>0</v>
      </c>
      <c r="O25" s="28">
        <f t="shared" ca="1" si="7"/>
        <v>0.72268464054223081</v>
      </c>
      <c r="P25" s="28">
        <f t="shared" ca="1" si="8"/>
        <v>0</v>
      </c>
    </row>
    <row r="26" spans="1:16" s="35" customFormat="1" x14ac:dyDescent="0.25">
      <c r="A26" s="32" t="str">
        <f>'Step 1 - Trending'!B33</f>
        <v>2017 Sep</v>
      </c>
      <c r="B26" s="76">
        <f ca="1">'Step 1 - Trending'!C33</f>
        <v>2740</v>
      </c>
      <c r="C26" s="33">
        <v>24</v>
      </c>
      <c r="D26" s="34">
        <f t="shared" ca="1" si="9"/>
        <v>1268.9166666666667</v>
      </c>
      <c r="E26" s="34">
        <f t="shared" ca="1" si="10"/>
        <v>1187.9583333333335</v>
      </c>
      <c r="F26" s="31">
        <f t="shared" ca="1" si="11"/>
        <v>2.3064782013959522</v>
      </c>
      <c r="G26" s="34">
        <f ca="1">$M$52</f>
        <v>2.746789752501487</v>
      </c>
      <c r="H26" s="25">
        <f t="shared" ca="1" si="0"/>
        <v>997.52811350220611</v>
      </c>
      <c r="I26" s="26">
        <f t="shared" ca="1" si="1"/>
        <v>460.10300000000007</v>
      </c>
      <c r="J26" s="26">
        <f t="shared" ca="1" si="6"/>
        <v>1263.8062054951918</v>
      </c>
      <c r="K26" s="26">
        <f t="shared" ca="1" si="2"/>
        <v>1476.1937945048082</v>
      </c>
      <c r="L26" s="27">
        <f t="shared" ca="1" si="3"/>
        <v>0.53875685930832418</v>
      </c>
      <c r="M26" s="26">
        <f t="shared" ca="1" si="4"/>
        <v>2179148.1189345042</v>
      </c>
      <c r="N26" s="28">
        <f t="shared" ca="1" si="5"/>
        <v>2.1680539216266923</v>
      </c>
      <c r="O26" s="28">
        <f t="shared" ca="1" si="7"/>
        <v>1.4900486097148804</v>
      </c>
      <c r="P26" s="28">
        <f t="shared" ca="1" si="8"/>
        <v>1.4550222774554635</v>
      </c>
    </row>
    <row r="27" spans="1:16" s="39" customFormat="1" x14ac:dyDescent="0.25">
      <c r="A27" s="36" t="str">
        <f>'Step 1 - Trending'!B34</f>
        <v>2017 Oct</v>
      </c>
      <c r="B27" s="77">
        <f ca="1">'Step 1 - Trending'!C34</f>
        <v>2118</v>
      </c>
      <c r="C27" s="37">
        <v>25</v>
      </c>
      <c r="D27" s="38">
        <f t="shared" ca="1" si="9"/>
        <v>1407.8333333333333</v>
      </c>
      <c r="E27" s="38">
        <f t="shared" ca="1" si="10"/>
        <v>1338.375</v>
      </c>
      <c r="F27" s="31">
        <f t="shared" ca="1" si="11"/>
        <v>1.5825161109554498</v>
      </c>
      <c r="G27" s="38">
        <f ca="1">$B$52</f>
        <v>1.884621772757312</v>
      </c>
      <c r="H27" s="25">
        <f t="shared" ca="1" si="0"/>
        <v>1123.8329253202046</v>
      </c>
      <c r="I27" s="26">
        <f t="shared" ca="1" si="1"/>
        <v>488.17899999999997</v>
      </c>
      <c r="J27" s="26">
        <f t="shared" ca="1" si="6"/>
        <v>920.03277240289174</v>
      </c>
      <c r="K27" s="26">
        <f t="shared" ca="1" si="2"/>
        <v>1197.9672275971084</v>
      </c>
      <c r="L27" s="27">
        <f t="shared" ca="1" si="3"/>
        <v>0.56561247761903133</v>
      </c>
      <c r="M27" s="26">
        <f t="shared" ca="1" si="4"/>
        <v>1435125.4783967021</v>
      </c>
      <c r="N27" s="28">
        <f t="shared" ca="1" si="5"/>
        <v>2.3020919075179491</v>
      </c>
      <c r="O27" s="28">
        <f t="shared" ca="1" si="7"/>
        <v>2.2608614123778579</v>
      </c>
      <c r="P27" s="28">
        <f t="shared" ca="1" si="8"/>
        <v>1.018236630920569</v>
      </c>
    </row>
    <row r="28" spans="1:16" s="39" customFormat="1" x14ac:dyDescent="0.25">
      <c r="A28" s="36" t="str">
        <f>'Step 1 - Trending'!B35</f>
        <v>2017 Nov</v>
      </c>
      <c r="B28" s="77">
        <f ca="1">'Step 1 - Trending'!C35</f>
        <v>2470</v>
      </c>
      <c r="C28" s="37">
        <v>26</v>
      </c>
      <c r="D28" s="38">
        <f t="shared" ca="1" si="9"/>
        <v>1435.5833333333333</v>
      </c>
      <c r="E28" s="38">
        <f t="shared" ca="1" si="10"/>
        <v>1421.7083333333333</v>
      </c>
      <c r="F28" s="31">
        <f t="shared" ca="1" si="11"/>
        <v>1.7373465021540988</v>
      </c>
      <c r="G28" s="38">
        <f ca="1">$C$52</f>
        <v>2.0690096120453005</v>
      </c>
      <c r="H28" s="25">
        <f t="shared" ca="1" si="0"/>
        <v>1193.8078903163259</v>
      </c>
      <c r="I28" s="26">
        <f t="shared" ca="1" si="1"/>
        <v>516.255</v>
      </c>
      <c r="J28" s="26">
        <f t="shared" ca="1" si="6"/>
        <v>1068.1365572664465</v>
      </c>
      <c r="K28" s="26">
        <f t="shared" ca="1" si="2"/>
        <v>1401.8634427335535</v>
      </c>
      <c r="L28" s="27">
        <f t="shared" ca="1" si="3"/>
        <v>0.56755604968969775</v>
      </c>
      <c r="M28" s="26">
        <f t="shared" ca="1" si="4"/>
        <v>1965221.1120727709</v>
      </c>
      <c r="N28" s="28">
        <f t="shared" ca="1" si="5"/>
        <v>2.3124384079889317</v>
      </c>
      <c r="O28" s="28">
        <f t="shared" ca="1" si="7"/>
        <v>2.3597755119117512</v>
      </c>
      <c r="P28" s="28">
        <f t="shared" ca="1" si="8"/>
        <v>0.97993999696841094</v>
      </c>
    </row>
    <row r="29" spans="1:16" s="39" customFormat="1" x14ac:dyDescent="0.25">
      <c r="A29" s="36" t="str">
        <f>'Step 1 - Trending'!B36</f>
        <v>2017 Dec</v>
      </c>
      <c r="B29" s="77">
        <f ca="1">'Step 1 - Trending'!C36</f>
        <v>3959</v>
      </c>
      <c r="C29" s="37">
        <v>27</v>
      </c>
      <c r="D29" s="38">
        <f t="shared" ca="1" si="9"/>
        <v>1760</v>
      </c>
      <c r="E29" s="38">
        <f t="shared" ca="1" si="10"/>
        <v>1597.7916666666665</v>
      </c>
      <c r="F29" s="31">
        <f t="shared" ca="1" si="11"/>
        <v>2.4777948731321877</v>
      </c>
      <c r="G29" s="38">
        <f ca="1">$D$52</f>
        <v>2.9508111380376474</v>
      </c>
      <c r="H29" s="25">
        <f t="shared" ca="1" si="0"/>
        <v>1341.6649913531301</v>
      </c>
      <c r="I29" s="26">
        <f t="shared" ca="1" si="1"/>
        <v>544.33100000000002</v>
      </c>
      <c r="J29" s="26">
        <f t="shared" ca="1" si="6"/>
        <v>1606.2179775791708</v>
      </c>
      <c r="K29" s="26">
        <f t="shared" ca="1" si="2"/>
        <v>2352.782022420829</v>
      </c>
      <c r="L29" s="27">
        <f t="shared" ca="1" si="3"/>
        <v>0.59428694681000982</v>
      </c>
      <c r="M29" s="26">
        <f t="shared" ca="1" si="4"/>
        <v>5535583.2450266462</v>
      </c>
      <c r="N29" s="28">
        <f t="shared" ca="1" si="5"/>
        <v>2.4647962202283717</v>
      </c>
      <c r="O29" s="28">
        <f t="shared" ca="1" si="7"/>
        <v>2.4851396966197163</v>
      </c>
      <c r="P29" s="28">
        <f t="shared" ca="1" si="8"/>
        <v>0.99181395057226929</v>
      </c>
    </row>
    <row r="30" spans="1:16" s="39" customFormat="1" x14ac:dyDescent="0.25">
      <c r="A30" s="36" t="str">
        <f>'Step 1 - Trending'!B37</f>
        <v>2018 Jan</v>
      </c>
      <c r="B30" s="77">
        <f ca="1">'Step 1 - Trending'!C37</f>
        <v>1800</v>
      </c>
      <c r="C30" s="37">
        <v>28</v>
      </c>
      <c r="D30" s="38">
        <f t="shared" ca="1" si="9"/>
        <v>1891.3333333333333</v>
      </c>
      <c r="E30" s="38">
        <f t="shared" ca="1" si="10"/>
        <v>1825.6666666666665</v>
      </c>
      <c r="F30" s="31">
        <f t="shared" ca="1" si="11"/>
        <v>0.9859412086908893</v>
      </c>
      <c r="G30" s="38">
        <f ca="1">$E$52</f>
        <v>1.1741594639663164</v>
      </c>
      <c r="H30" s="25">
        <f t="shared" ca="1" si="0"/>
        <v>1533.0115331350235</v>
      </c>
      <c r="I30" s="26">
        <f t="shared" ca="1" si="1"/>
        <v>572.40700000000004</v>
      </c>
      <c r="J30" s="26">
        <f t="shared" ca="1" si="6"/>
        <v>672.09709629056738</v>
      </c>
      <c r="K30" s="26">
        <f t="shared" ca="1" si="2"/>
        <v>1127.9029037094326</v>
      </c>
      <c r="L30" s="27">
        <f t="shared" ca="1" si="3"/>
        <v>0.62661272428301817</v>
      </c>
      <c r="M30" s="26">
        <f t="shared" ca="1" si="4"/>
        <v>1272164.9601961696</v>
      </c>
      <c r="N30" s="28">
        <f t="shared" ca="1" si="5"/>
        <v>2.6781844616418442</v>
      </c>
      <c r="O30" s="28">
        <f t="shared" ca="1" si="7"/>
        <v>2.65698608138079</v>
      </c>
      <c r="P30" s="28">
        <f t="shared" ca="1" si="8"/>
        <v>1.0079783557804856</v>
      </c>
    </row>
    <row r="31" spans="1:16" s="39" customFormat="1" x14ac:dyDescent="0.25">
      <c r="A31" s="36" t="str">
        <f>'Step 1 - Trending'!B38</f>
        <v>2018 Feb</v>
      </c>
      <c r="B31" s="77">
        <f ca="1">'Step 1 - Trending'!C38</f>
        <v>197</v>
      </c>
      <c r="C31" s="37">
        <v>29</v>
      </c>
      <c r="D31" s="38">
        <f t="shared" ca="1" si="9"/>
        <v>2153.3333333333335</v>
      </c>
      <c r="E31" s="38">
        <f t="shared" ca="1" si="10"/>
        <v>2022.3333333333335</v>
      </c>
      <c r="F31" s="31">
        <f t="shared" ca="1" si="11"/>
        <v>9.7412230097247393E-2</v>
      </c>
      <c r="G31" s="38">
        <f ca="1">$F$52</f>
        <v>0.1160084301848133</v>
      </c>
      <c r="H31" s="25">
        <f t="shared" ca="1" si="0"/>
        <v>1698.1524505258699</v>
      </c>
      <c r="I31" s="26">
        <f t="shared" ca="1" si="1"/>
        <v>600.48300000000006</v>
      </c>
      <c r="J31" s="26">
        <f t="shared" ca="1" si="6"/>
        <v>69.661090182667252</v>
      </c>
      <c r="K31" s="26">
        <f t="shared" ca="1" si="2"/>
        <v>127.33890981733275</v>
      </c>
      <c r="L31" s="27">
        <f t="shared" ca="1" si="3"/>
        <v>0.6463904051641256</v>
      </c>
      <c r="M31" s="26">
        <f t="shared" ca="1" si="4"/>
        <v>16215.197953466803</v>
      </c>
      <c r="N31" s="28">
        <f t="shared" ca="1" si="5"/>
        <v>2.8279775622721539</v>
      </c>
      <c r="O31" s="28">
        <f t="shared" ca="1" si="7"/>
        <v>2.8087477481231509</v>
      </c>
      <c r="P31" s="28">
        <f t="shared" ca="1" si="8"/>
        <v>1.0068464012696949</v>
      </c>
    </row>
    <row r="32" spans="1:16" s="39" customFormat="1" x14ac:dyDescent="0.25">
      <c r="A32" s="36" t="str">
        <f>'Step 1 - Trending'!B39</f>
        <v>2018 Mar</v>
      </c>
      <c r="B32" s="77">
        <f ca="1">'Step 1 - Trending'!C39</f>
        <v>1943</v>
      </c>
      <c r="C32" s="37">
        <v>30</v>
      </c>
      <c r="D32" s="38">
        <f ca="1">(B27+B28+B29+B30+B31+B32+B33+B34+B35+B36+B37+B38)/12</f>
        <v>2218.3333333333335</v>
      </c>
      <c r="E32" s="38">
        <f t="shared" ca="1" si="10"/>
        <v>2185.8333333333335</v>
      </c>
      <c r="F32" s="31">
        <f t="shared" ca="1" si="11"/>
        <v>0.88890583301563086</v>
      </c>
      <c r="G32" s="38">
        <f ca="1">$G$52</f>
        <v>1.0585998305071247</v>
      </c>
      <c r="H32" s="25">
        <f t="shared" ca="1" si="0"/>
        <v>1835.4433318482597</v>
      </c>
      <c r="I32" s="26">
        <f t="shared" ca="1" si="1"/>
        <v>628.55899999999997</v>
      </c>
      <c r="J32" s="26">
        <f t="shared" ca="1" si="6"/>
        <v>665.39245086372773</v>
      </c>
      <c r="K32" s="26">
        <f t="shared" ca="1" si="2"/>
        <v>1277.6075491362722</v>
      </c>
      <c r="L32" s="27">
        <f t="shared" ca="1" si="3"/>
        <v>0.65754377207219361</v>
      </c>
      <c r="M32" s="26">
        <f t="shared" ca="1" si="4"/>
        <v>1632281.049609992</v>
      </c>
      <c r="N32" s="28">
        <f t="shared" ca="1" si="5"/>
        <v>2.9200812204554545</v>
      </c>
      <c r="O32" s="28">
        <f t="shared" ca="1" si="7"/>
        <v>1.9160195942425362</v>
      </c>
      <c r="P32" s="28">
        <f t="shared" ca="1" si="8"/>
        <v>1.5240351556059404</v>
      </c>
    </row>
    <row r="33" spans="1:16" s="39" customFormat="1" x14ac:dyDescent="0.25">
      <c r="A33" s="36" t="str">
        <f>'Step 1 - Trending'!B40</f>
        <v>2018 Apr</v>
      </c>
      <c r="B33" s="77">
        <f ca="1">'Step 1 - Trending'!C40</f>
        <v>1667</v>
      </c>
      <c r="C33" s="37">
        <v>31</v>
      </c>
      <c r="D33" s="38"/>
      <c r="E33" s="40"/>
      <c r="F33" s="38"/>
      <c r="G33" s="38">
        <f ca="1">$H$52</f>
        <v>0</v>
      </c>
      <c r="H33" s="25">
        <f t="shared" ca="1" si="0"/>
        <v>0</v>
      </c>
      <c r="I33" s="26">
        <f t="shared" ca="1" si="1"/>
        <v>656.63499999999999</v>
      </c>
      <c r="J33" s="26">
        <f t="shared" ca="1" si="6"/>
        <v>0</v>
      </c>
      <c r="K33" s="26">
        <f t="shared" ca="1" si="2"/>
        <v>1667</v>
      </c>
      <c r="L33" s="27">
        <f t="shared" ca="1" si="3"/>
        <v>1</v>
      </c>
      <c r="M33" s="26">
        <f t="shared" ca="1" si="4"/>
        <v>2778889</v>
      </c>
      <c r="N33" s="28">
        <f t="shared" ca="1" si="5"/>
        <v>0</v>
      </c>
      <c r="O33" s="28">
        <f t="shared" ca="1" si="7"/>
        <v>0.97336040681848479</v>
      </c>
      <c r="P33" s="28">
        <f t="shared" ca="1" si="8"/>
        <v>0</v>
      </c>
    </row>
    <row r="34" spans="1:16" s="39" customFormat="1" x14ac:dyDescent="0.25">
      <c r="A34" s="36" t="str">
        <f>'Step 1 - Trending'!B41</f>
        <v>2018 May</v>
      </c>
      <c r="B34" s="77">
        <f ca="1">'Step 1 - Trending'!C41</f>
        <v>333</v>
      </c>
      <c r="C34" s="37">
        <v>32</v>
      </c>
      <c r="D34" s="38"/>
      <c r="E34" s="40"/>
      <c r="F34" s="38"/>
      <c r="G34" s="38">
        <f ca="1">$I$52</f>
        <v>0</v>
      </c>
      <c r="H34" s="25">
        <f t="shared" ca="1" si="0"/>
        <v>0</v>
      </c>
      <c r="I34" s="26">
        <f t="shared" ca="1" si="1"/>
        <v>684.71100000000001</v>
      </c>
      <c r="J34" s="26">
        <f t="shared" ca="1" si="6"/>
        <v>0</v>
      </c>
      <c r="K34" s="26">
        <f t="shared" ca="1" si="2"/>
        <v>333</v>
      </c>
      <c r="L34" s="27">
        <f t="shared" ca="1" si="3"/>
        <v>1</v>
      </c>
      <c r="M34" s="26">
        <f t="shared" ca="1" si="4"/>
        <v>110889</v>
      </c>
      <c r="N34" s="28">
        <f t="shared" ca="1" si="5"/>
        <v>0</v>
      </c>
      <c r="O34" s="28">
        <f t="shared" ca="1" si="7"/>
        <v>0</v>
      </c>
      <c r="P34" s="28">
        <f t="shared" ca="1" si="8"/>
        <v>0</v>
      </c>
    </row>
    <row r="35" spans="1:16" s="39" customFormat="1" x14ac:dyDescent="0.25">
      <c r="A35" s="36" t="str">
        <f>'Step 1 - Trending'!B42</f>
        <v>2018 Jun</v>
      </c>
      <c r="B35" s="77">
        <f ca="1">'Step 1 - Trending'!C42</f>
        <v>3893</v>
      </c>
      <c r="C35" s="37">
        <v>33</v>
      </c>
      <c r="D35" s="38"/>
      <c r="E35" s="40"/>
      <c r="F35" s="38"/>
      <c r="G35" s="38">
        <f ca="1">$J$52</f>
        <v>0</v>
      </c>
      <c r="H35" s="25">
        <f t="shared" ca="1" si="0"/>
        <v>0</v>
      </c>
      <c r="I35" s="26">
        <f t="shared" ca="1" si="1"/>
        <v>712.78700000000003</v>
      </c>
      <c r="J35" s="26">
        <f t="shared" ca="1" si="6"/>
        <v>0</v>
      </c>
      <c r="K35" s="26">
        <f t="shared" ca="1" si="2"/>
        <v>3893</v>
      </c>
      <c r="L35" s="27">
        <f t="shared" ca="1" si="3"/>
        <v>1</v>
      </c>
      <c r="M35" s="26">
        <f t="shared" ca="1" si="4"/>
        <v>15155449</v>
      </c>
      <c r="N35" s="28">
        <f t="shared" ca="1" si="5"/>
        <v>0</v>
      </c>
      <c r="O35" s="28">
        <f t="shared" ca="1" si="7"/>
        <v>0</v>
      </c>
      <c r="P35" s="28">
        <f t="shared" ca="1" si="8"/>
        <v>0</v>
      </c>
    </row>
    <row r="36" spans="1:16" s="39" customFormat="1" x14ac:dyDescent="0.25">
      <c r="A36" s="36" t="str">
        <f>'Step 1 - Trending'!B43</f>
        <v>2018 Jul</v>
      </c>
      <c r="B36" s="77">
        <f ca="1">'Step 1 - Trending'!C43</f>
        <v>1576</v>
      </c>
      <c r="C36" s="37">
        <v>34</v>
      </c>
      <c r="D36" s="38"/>
      <c r="E36" s="40"/>
      <c r="F36" s="38"/>
      <c r="G36" s="38">
        <f ca="1">$K$52</f>
        <v>0</v>
      </c>
      <c r="H36" s="25">
        <f t="shared" ca="1" si="0"/>
        <v>0</v>
      </c>
      <c r="I36" s="26">
        <f t="shared" ca="1" si="1"/>
        <v>740.86300000000006</v>
      </c>
      <c r="J36" s="26">
        <f t="shared" ca="1" si="6"/>
        <v>0</v>
      </c>
      <c r="K36" s="26">
        <f t="shared" ca="1" si="2"/>
        <v>1576</v>
      </c>
      <c r="L36" s="27">
        <f t="shared" ca="1" si="3"/>
        <v>1</v>
      </c>
      <c r="M36" s="26">
        <f t="shared" ca="1" si="4"/>
        <v>2483776</v>
      </c>
      <c r="N36" s="28">
        <f t="shared" ca="1" si="5"/>
        <v>0</v>
      </c>
      <c r="O36" s="28">
        <f t="shared" ca="1" si="7"/>
        <v>0</v>
      </c>
      <c r="P36" s="28">
        <f t="shared" ca="1" si="8"/>
        <v>0</v>
      </c>
    </row>
    <row r="37" spans="1:16" s="39" customFormat="1" x14ac:dyDescent="0.25">
      <c r="A37" s="36" t="str">
        <f>'Step 1 - Trending'!B44</f>
        <v>2018 Aug</v>
      </c>
      <c r="B37" s="77">
        <f ca="1">'Step 1 - Trending'!C44</f>
        <v>3144</v>
      </c>
      <c r="C37" s="37">
        <v>35</v>
      </c>
      <c r="D37" s="38"/>
      <c r="E37" s="40"/>
      <c r="F37" s="40"/>
      <c r="G37" s="38">
        <f ca="1">$L$52</f>
        <v>0</v>
      </c>
      <c r="H37" s="25">
        <f t="shared" ca="1" si="0"/>
        <v>0</v>
      </c>
      <c r="I37" s="26">
        <f t="shared" ca="1" si="1"/>
        <v>768.93899999999996</v>
      </c>
      <c r="J37" s="26">
        <f t="shared" ca="1" si="6"/>
        <v>0</v>
      </c>
      <c r="K37" s="26">
        <f t="shared" ca="1" si="2"/>
        <v>3144</v>
      </c>
      <c r="L37" s="27">
        <f t="shared" ca="1" si="3"/>
        <v>1</v>
      </c>
      <c r="M37" s="26">
        <f t="shared" ca="1" si="4"/>
        <v>9884736</v>
      </c>
      <c r="N37" s="28">
        <f t="shared" ca="1" si="5"/>
        <v>0</v>
      </c>
      <c r="O37" s="28">
        <f t="shared" ca="1" si="7"/>
        <v>0.5359564419032562</v>
      </c>
      <c r="P37" s="28">
        <f t="shared" ca="1" si="8"/>
        <v>0</v>
      </c>
    </row>
    <row r="38" spans="1:16" s="39" customFormat="1" x14ac:dyDescent="0.25">
      <c r="A38" s="36" t="str">
        <f>'Step 1 - Trending'!B45</f>
        <v>2018 Sep</v>
      </c>
      <c r="B38" s="77">
        <f ca="1">'Step 1 - Trending'!C45</f>
        <v>3520</v>
      </c>
      <c r="C38" s="37">
        <v>36</v>
      </c>
      <c r="D38" s="38"/>
      <c r="E38" s="40"/>
      <c r="F38" s="40"/>
      <c r="G38" s="38">
        <f ca="1">$M$52</f>
        <v>2.746789752501487</v>
      </c>
      <c r="H38" s="25">
        <f t="shared" ca="1" si="0"/>
        <v>1281.4959706305713</v>
      </c>
      <c r="I38" s="26">
        <f t="shared" ca="1" si="1"/>
        <v>797.01499999999999</v>
      </c>
      <c r="J38" s="26">
        <f t="shared" ca="1" si="6"/>
        <v>2189.2326345899728</v>
      </c>
      <c r="K38" s="26">
        <f t="shared" ca="1" si="2"/>
        <v>1330.7673654100272</v>
      </c>
      <c r="L38" s="27">
        <f t="shared" ca="1" si="3"/>
        <v>0.37805891062784863</v>
      </c>
      <c r="M38" s="26">
        <f t="shared" ca="1" si="4"/>
        <v>1770941.780840345</v>
      </c>
      <c r="N38" s="28">
        <f t="shared" ca="1" si="5"/>
        <v>1.6078693257097687</v>
      </c>
      <c r="O38" s="41"/>
      <c r="P38" s="41"/>
    </row>
    <row r="39" spans="1:16" x14ac:dyDescent="0.25">
      <c r="G39" s="43" t="s">
        <v>75</v>
      </c>
      <c r="H39" s="44">
        <f ca="1">ROUNDDOWN(INTERCEPT(H3:H38,C3:C38),3)</f>
        <v>-213.721</v>
      </c>
      <c r="K39" s="44">
        <f ca="1">AVERAGE(K3:K38)</f>
        <v>676.70334896208317</v>
      </c>
      <c r="L39" s="45">
        <f ca="1">AVERAGE(L3:L38)</f>
        <v>0.26596717071039577</v>
      </c>
      <c r="M39" s="46">
        <f ca="1">AVERAGE(M3:M38)</f>
        <v>1319234.7154367894</v>
      </c>
      <c r="N39" s="47"/>
      <c r="O39" s="47"/>
      <c r="P39" s="47"/>
    </row>
    <row r="40" spans="1:16" x14ac:dyDescent="0.25">
      <c r="G40" s="43" t="s">
        <v>76</v>
      </c>
      <c r="H40" s="44">
        <f ca="1">ROUNDDOWN(SLOPE(H3:H38,C3:C38),3)</f>
        <v>28.076000000000001</v>
      </c>
      <c r="K40" s="43" t="s">
        <v>77</v>
      </c>
      <c r="L40" s="44" t="s">
        <v>78</v>
      </c>
      <c r="M40" s="43" t="s">
        <v>79</v>
      </c>
      <c r="N40" s="48"/>
    </row>
    <row r="41" spans="1:16" x14ac:dyDescent="0.25">
      <c r="G41" s="49" t="s">
        <v>80</v>
      </c>
      <c r="H41" s="49" t="str">
        <f ca="1">CONCATENATE(H40,"*X",H39)</f>
        <v>28.076*X-213.721</v>
      </c>
    </row>
    <row r="42" spans="1:16" x14ac:dyDescent="0.25">
      <c r="G42" s="50"/>
      <c r="H42" s="50"/>
    </row>
    <row r="43" spans="1:16" x14ac:dyDescent="0.25">
      <c r="G43" s="50"/>
      <c r="H43" s="50"/>
    </row>
    <row r="45" spans="1:16" x14ac:dyDescent="0.25"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</row>
    <row r="46" spans="1:16" ht="26.1" customHeight="1" x14ac:dyDescent="0.25">
      <c r="A46" s="52" t="s">
        <v>81</v>
      </c>
      <c r="B46" s="87" t="s">
        <v>82</v>
      </c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9"/>
    </row>
    <row r="47" spans="1:16" x14ac:dyDescent="0.25">
      <c r="A47" s="53" t="s">
        <v>83</v>
      </c>
      <c r="B47" s="54" t="s">
        <v>84</v>
      </c>
      <c r="C47" s="54" t="s">
        <v>85</v>
      </c>
      <c r="D47" s="54" t="s">
        <v>86</v>
      </c>
      <c r="E47" s="54" t="s">
        <v>87</v>
      </c>
      <c r="F47" s="54" t="s">
        <v>88</v>
      </c>
      <c r="G47" s="54" t="s">
        <v>89</v>
      </c>
      <c r="H47" s="54" t="s">
        <v>90</v>
      </c>
      <c r="I47" s="54" t="s">
        <v>91</v>
      </c>
      <c r="J47" s="54" t="s">
        <v>92</v>
      </c>
      <c r="K47" s="54" t="s">
        <v>93</v>
      </c>
      <c r="L47" s="54" t="s">
        <v>94</v>
      </c>
      <c r="M47" s="54" t="s">
        <v>95</v>
      </c>
    </row>
    <row r="48" spans="1:16" x14ac:dyDescent="0.25">
      <c r="A48" s="24" t="s">
        <v>96</v>
      </c>
      <c r="B48" s="31"/>
      <c r="C48" s="31"/>
      <c r="D48" s="31"/>
      <c r="E48" s="31"/>
      <c r="F48" s="31"/>
      <c r="G48" s="31"/>
      <c r="H48" s="31">
        <f ca="1">F9</f>
        <v>0</v>
      </c>
      <c r="I48" s="31">
        <f ca="1">F10</f>
        <v>0</v>
      </c>
      <c r="J48" s="31">
        <f ca="1">F11</f>
        <v>0</v>
      </c>
      <c r="K48" s="31">
        <f ca="1">F12</f>
        <v>0</v>
      </c>
      <c r="L48" s="31">
        <f ca="1">F13</f>
        <v>0</v>
      </c>
      <c r="M48" s="31">
        <f ca="1">F14</f>
        <v>0</v>
      </c>
    </row>
    <row r="49" spans="1:15" x14ac:dyDescent="0.25">
      <c r="A49" s="55" t="s">
        <v>97</v>
      </c>
      <c r="B49" s="56">
        <f ca="1">F15</f>
        <v>0</v>
      </c>
      <c r="C49" s="56">
        <f ca="1">F16</f>
        <v>0</v>
      </c>
      <c r="D49" s="56">
        <f ca="1">F17</f>
        <v>0</v>
      </c>
      <c r="E49" s="56">
        <f ca="1">F18</f>
        <v>0</v>
      </c>
      <c r="F49" s="56">
        <f ca="1">F19</f>
        <v>0</v>
      </c>
      <c r="G49" s="56">
        <f ca="1">F20</f>
        <v>0</v>
      </c>
      <c r="H49" s="56">
        <f ca="1">F21</f>
        <v>0</v>
      </c>
      <c r="I49" s="56">
        <f ca="1">F22</f>
        <v>0</v>
      </c>
      <c r="J49" s="56">
        <f ca="1">F23</f>
        <v>0</v>
      </c>
      <c r="K49" s="56">
        <f ca="1">F24</f>
        <v>0</v>
      </c>
      <c r="L49" s="56">
        <f ca="1">F25</f>
        <v>0</v>
      </c>
      <c r="M49" s="56">
        <f ca="1">F26</f>
        <v>2.3064782013959522</v>
      </c>
    </row>
    <row r="50" spans="1:15" x14ac:dyDescent="0.25">
      <c r="A50" s="40" t="s">
        <v>98</v>
      </c>
      <c r="B50" s="57">
        <f ca="1">F27</f>
        <v>1.5825161109554498</v>
      </c>
      <c r="C50" s="57">
        <f ca="1">F28</f>
        <v>1.7373465021540988</v>
      </c>
      <c r="D50" s="57">
        <f ca="1">F29</f>
        <v>2.4777948731321877</v>
      </c>
      <c r="E50" s="57">
        <f ca="1">F30</f>
        <v>0.9859412086908893</v>
      </c>
      <c r="F50" s="57">
        <f ca="1">F31</f>
        <v>9.7412230097247393E-2</v>
      </c>
      <c r="G50" s="57">
        <f ca="1">F32</f>
        <v>0.88890583301563086</v>
      </c>
      <c r="H50" s="57"/>
      <c r="I50" s="57"/>
      <c r="J50" s="57"/>
      <c r="K50" s="57"/>
      <c r="L50" s="57"/>
      <c r="M50" s="57"/>
    </row>
    <row r="51" spans="1:15" x14ac:dyDescent="0.25">
      <c r="A51" s="54" t="s">
        <v>99</v>
      </c>
      <c r="B51" s="58">
        <f ca="1">AVERAGE(B48:B50)</f>
        <v>0.79125805547772488</v>
      </c>
      <c r="C51" s="58">
        <f t="shared" ref="C51:M51" ca="1" si="12">AVERAGE(C48:C50)</f>
        <v>0.8686732510770494</v>
      </c>
      <c r="D51" s="58">
        <f t="shared" ca="1" si="12"/>
        <v>1.2388974365660939</v>
      </c>
      <c r="E51" s="58">
        <f t="shared" ca="1" si="12"/>
        <v>0.49297060434544465</v>
      </c>
      <c r="F51" s="58">
        <f t="shared" ca="1" si="12"/>
        <v>4.8706115048623697E-2</v>
      </c>
      <c r="G51" s="58">
        <f t="shared" ca="1" si="12"/>
        <v>0.44445291650781543</v>
      </c>
      <c r="H51" s="58">
        <f t="shared" ca="1" si="12"/>
        <v>0</v>
      </c>
      <c r="I51" s="58">
        <f t="shared" ca="1" si="12"/>
        <v>0</v>
      </c>
      <c r="J51" s="58">
        <f t="shared" ca="1" si="12"/>
        <v>0</v>
      </c>
      <c r="K51" s="58">
        <f t="shared" ca="1" si="12"/>
        <v>0</v>
      </c>
      <c r="L51" s="58">
        <f ca="1">AVERAGE(L48:L50)</f>
        <v>0</v>
      </c>
      <c r="M51" s="58">
        <f t="shared" ca="1" si="12"/>
        <v>1.1532391006979761</v>
      </c>
      <c r="N51" s="51">
        <f ca="1">SUM(B51:M51)</f>
        <v>5.0381974797207274</v>
      </c>
      <c r="O51" s="42" t="s">
        <v>100</v>
      </c>
    </row>
    <row r="52" spans="1:15" s="15" customFormat="1" ht="30" x14ac:dyDescent="0.25">
      <c r="A52" s="59" t="s">
        <v>101</v>
      </c>
      <c r="B52" s="60">
        <f ca="1">IFERROR(B51*12/SUM($B$51:$M$51),0)</f>
        <v>1.884621772757312</v>
      </c>
      <c r="C52" s="60">
        <f t="shared" ref="C52:M52" ca="1" si="13">IFERROR(C51*12/SUM($B$51:$M$51),0)</f>
        <v>2.0690096120453005</v>
      </c>
      <c r="D52" s="60">
        <f t="shared" ca="1" si="13"/>
        <v>2.9508111380376474</v>
      </c>
      <c r="E52" s="60">
        <f t="shared" ca="1" si="13"/>
        <v>1.1741594639663164</v>
      </c>
      <c r="F52" s="60">
        <f t="shared" ca="1" si="13"/>
        <v>0.1160084301848133</v>
      </c>
      <c r="G52" s="60">
        <f t="shared" ca="1" si="13"/>
        <v>1.0585998305071247</v>
      </c>
      <c r="H52" s="60">
        <f t="shared" ca="1" si="13"/>
        <v>0</v>
      </c>
      <c r="I52" s="60">
        <f t="shared" ca="1" si="13"/>
        <v>0</v>
      </c>
      <c r="J52" s="60">
        <f t="shared" ca="1" si="13"/>
        <v>0</v>
      </c>
      <c r="K52" s="60">
        <f t="shared" ca="1" si="13"/>
        <v>0</v>
      </c>
      <c r="L52" s="60">
        <f t="shared" ca="1" si="13"/>
        <v>0</v>
      </c>
      <c r="M52" s="60">
        <f t="shared" ca="1" si="13"/>
        <v>2.746789752501487</v>
      </c>
      <c r="N52" s="61">
        <f ca="1">IFERROR(12/SUM(B52:M52),0)</f>
        <v>1</v>
      </c>
    </row>
    <row r="53" spans="1:15" x14ac:dyDescent="0.25"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</row>
    <row r="59" spans="1:15" ht="18.399999999999999" customHeight="1" x14ac:dyDescent="0.25"/>
    <row r="60" spans="1:15" s="15" customFormat="1" x14ac:dyDescent="0.25">
      <c r="A60" s="42"/>
      <c r="B60" s="42"/>
      <c r="C60" s="42"/>
      <c r="D60" s="42"/>
      <c r="E60" s="42"/>
    </row>
    <row r="61" spans="1:15" x14ac:dyDescent="0.25">
      <c r="F61" s="51"/>
      <c r="G61" s="51"/>
    </row>
    <row r="62" spans="1:15" x14ac:dyDescent="0.25">
      <c r="F62" s="51"/>
      <c r="G62" s="51"/>
    </row>
    <row r="63" spans="1:15" x14ac:dyDescent="0.25">
      <c r="F63" s="51"/>
      <c r="G63" s="51"/>
    </row>
    <row r="64" spans="1:15" x14ac:dyDescent="0.25">
      <c r="F64" s="51"/>
      <c r="G64" s="51"/>
    </row>
    <row r="65" spans="6:7" x14ac:dyDescent="0.25">
      <c r="F65" s="51"/>
      <c r="G65" s="51"/>
    </row>
    <row r="66" spans="6:7" x14ac:dyDescent="0.25">
      <c r="F66" s="51"/>
      <c r="G66" s="51"/>
    </row>
    <row r="67" spans="6:7" x14ac:dyDescent="0.25">
      <c r="F67" s="51"/>
      <c r="G67" s="51"/>
    </row>
    <row r="68" spans="6:7" x14ac:dyDescent="0.25">
      <c r="F68" s="51"/>
      <c r="G68" s="51"/>
    </row>
    <row r="69" spans="6:7" x14ac:dyDescent="0.25">
      <c r="F69" s="51"/>
      <c r="G69" s="51"/>
    </row>
    <row r="70" spans="6:7" x14ac:dyDescent="0.25">
      <c r="F70" s="51"/>
      <c r="G70" s="51"/>
    </row>
    <row r="71" spans="6:7" x14ac:dyDescent="0.25">
      <c r="F71" s="51"/>
      <c r="G71" s="51"/>
    </row>
    <row r="72" spans="6:7" x14ac:dyDescent="0.25">
      <c r="F72" s="51"/>
      <c r="G72" s="51"/>
    </row>
    <row r="76" spans="6:7" x14ac:dyDescent="0.25">
      <c r="F76" s="62"/>
    </row>
  </sheetData>
  <mergeCells count="5">
    <mergeCell ref="A1:C1"/>
    <mergeCell ref="D1:H1"/>
    <mergeCell ref="I1:M1"/>
    <mergeCell ref="N1:P1"/>
    <mergeCell ref="B46:M4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76"/>
  <sheetViews>
    <sheetView topLeftCell="A55" zoomScale="90" zoomScaleNormal="90" workbookViewId="0">
      <selection activeCell="L72" sqref="L72"/>
    </sheetView>
  </sheetViews>
  <sheetFormatPr defaultColWidth="15.28515625" defaultRowHeight="15" x14ac:dyDescent="0.25"/>
  <cols>
    <col min="1" max="1" width="14.85546875" style="42" bestFit="1" customWidth="1"/>
    <col min="2" max="2" width="15" style="42" bestFit="1" customWidth="1"/>
    <col min="3" max="3" width="16.42578125" style="42" customWidth="1"/>
    <col min="4" max="4" width="15.28515625" style="42" customWidth="1"/>
    <col min="5" max="5" width="18.140625" style="42" customWidth="1"/>
    <col min="6" max="6" width="14.140625" style="42" bestFit="1" customWidth="1"/>
    <col min="7" max="7" width="16.42578125" style="42" customWidth="1"/>
    <col min="8" max="8" width="42.5703125" style="42" bestFit="1" customWidth="1"/>
    <col min="9" max="9" width="18.5703125" style="42" bestFit="1" customWidth="1"/>
    <col min="10" max="10" width="15.28515625" style="42"/>
    <col min="11" max="11" width="17.7109375" style="42" bestFit="1" customWidth="1"/>
    <col min="12" max="12" width="17.85546875" style="42" bestFit="1" customWidth="1"/>
    <col min="13" max="13" width="18.28515625" style="42" bestFit="1" customWidth="1"/>
    <col min="14" max="14" width="17.5703125" style="42" customWidth="1"/>
    <col min="15" max="15" width="21.42578125" style="42" customWidth="1"/>
    <col min="16" max="16" width="17.7109375" style="42" customWidth="1"/>
    <col min="17" max="17" width="18" style="42" customWidth="1"/>
    <col min="18" max="16384" width="15.28515625" style="42"/>
  </cols>
  <sheetData>
    <row r="1" spans="1:17" s="15" customFormat="1" ht="15" customHeight="1" x14ac:dyDescent="0.25">
      <c r="A1" s="79" t="s">
        <v>57</v>
      </c>
      <c r="B1" s="80"/>
      <c r="C1" s="81"/>
      <c r="D1" s="82" t="s">
        <v>58</v>
      </c>
      <c r="E1" s="83"/>
      <c r="F1" s="83"/>
      <c r="G1" s="83"/>
      <c r="H1" s="84"/>
      <c r="I1" s="85" t="s">
        <v>59</v>
      </c>
      <c r="J1" s="85"/>
      <c r="K1" s="85"/>
      <c r="L1" s="85"/>
      <c r="M1" s="85"/>
      <c r="N1" s="86" t="s">
        <v>60</v>
      </c>
      <c r="O1" s="86"/>
      <c r="P1" s="86"/>
      <c r="Q1" s="14"/>
    </row>
    <row r="2" spans="1:17" s="20" customFormat="1" ht="96" x14ac:dyDescent="0.25">
      <c r="A2" s="16" t="s">
        <v>13</v>
      </c>
      <c r="B2" s="16" t="s">
        <v>15</v>
      </c>
      <c r="C2" s="16" t="s">
        <v>61</v>
      </c>
      <c r="D2" s="17" t="s">
        <v>62</v>
      </c>
      <c r="E2" s="17" t="s">
        <v>63</v>
      </c>
      <c r="F2" s="17" t="s">
        <v>64</v>
      </c>
      <c r="G2" s="17" t="s">
        <v>65</v>
      </c>
      <c r="H2" s="17" t="s">
        <v>66</v>
      </c>
      <c r="I2" s="18" t="s">
        <v>67</v>
      </c>
      <c r="J2" s="18" t="s">
        <v>68</v>
      </c>
      <c r="K2" s="18" t="s">
        <v>69</v>
      </c>
      <c r="L2" s="18" t="s">
        <v>70</v>
      </c>
      <c r="M2" s="18" t="s">
        <v>71</v>
      </c>
      <c r="N2" s="19" t="s">
        <v>72</v>
      </c>
      <c r="O2" s="19" t="s">
        <v>73</v>
      </c>
      <c r="P2" s="19" t="s">
        <v>74</v>
      </c>
    </row>
    <row r="3" spans="1:17" s="30" customFormat="1" x14ac:dyDescent="0.25">
      <c r="A3" s="21" t="str">
        <f>'Step 1 - Trending'!B10</f>
        <v>2015 Oct</v>
      </c>
      <c r="B3" s="22">
        <f ca="1">'Step 1 - Trending'!D10</f>
        <v>-659.48571428571427</v>
      </c>
      <c r="C3" s="23">
        <v>1</v>
      </c>
      <c r="D3" s="24"/>
      <c r="E3" s="24"/>
      <c r="F3" s="24"/>
      <c r="G3" s="25">
        <f ca="1">$B$52</f>
        <v>1.0000000000000007</v>
      </c>
      <c r="H3" s="25">
        <f ca="1">IFERROR(B3/G3,0)</f>
        <v>-659.48571428571381</v>
      </c>
      <c r="I3" s="26">
        <f ca="1">IFERROR($H$39+$H$40*C3,0)</f>
        <v>-659.48599999999999</v>
      </c>
      <c r="J3" s="26">
        <f ca="1">IFERROR(I3*G3,0)</f>
        <v>-659.48600000000044</v>
      </c>
      <c r="K3" s="26">
        <f ca="1">IFERROR(ABS(B3-J3),0)</f>
        <v>2.857142861785178E-4</v>
      </c>
      <c r="L3" s="27">
        <f ca="1">IFERROR(IF(ABS((B3-J3)/B3)&gt;0,ABS((B3-J3)/B3),0),0)</f>
        <v>4.3323802167265068E-7</v>
      </c>
      <c r="M3" s="26">
        <f ca="1">IFERROR((B3-J3)^2,0)</f>
        <v>8.1632653326499966E-8</v>
      </c>
      <c r="N3" s="28">
        <f ca="1">IFERROR(B3/J3,0)</f>
        <v>0.99999956676216606</v>
      </c>
      <c r="O3" s="29"/>
      <c r="P3" s="29"/>
    </row>
    <row r="4" spans="1:17" s="30" customFormat="1" x14ac:dyDescent="0.25">
      <c r="A4" s="21" t="str">
        <f>'Step 1 - Trending'!B11</f>
        <v>2015 Nov</v>
      </c>
      <c r="B4" s="22">
        <f ca="1">'Step 1 - Trending'!D11</f>
        <v>-577.26386554621854</v>
      </c>
      <c r="C4" s="23">
        <v>2</v>
      </c>
      <c r="D4" s="24"/>
      <c r="E4" s="24"/>
      <c r="F4" s="24"/>
      <c r="G4" s="25">
        <f ca="1">$C$52</f>
        <v>1.0000000000000007</v>
      </c>
      <c r="H4" s="25">
        <f t="shared" ref="H4:H38" ca="1" si="0">IFERROR(B4/G4,0)</f>
        <v>-577.2638655462182</v>
      </c>
      <c r="I4" s="26">
        <f t="shared" ref="I4:I38" ca="1" si="1">IFERROR($H$39+$H$40*C4,0)</f>
        <v>-577.26499999999999</v>
      </c>
      <c r="J4" s="26">
        <f t="shared" ref="J4:J38" ca="1" si="2">IFERROR(I4*G4,0)</f>
        <v>-577.26500000000033</v>
      </c>
      <c r="K4" s="26">
        <f t="shared" ref="K4:K38" ca="1" si="3">IFERROR(ABS(B4-J4),0)</f>
        <v>1.1344537817876699E-3</v>
      </c>
      <c r="L4" s="27">
        <f t="shared" ref="L4:L38" ca="1" si="4">IFERROR(IF(ABS((B4-J4)/B4)&gt;0,ABS((B4-J4)/B4),0),0)</f>
        <v>1.9652256957296765E-6</v>
      </c>
      <c r="M4" s="26">
        <f t="shared" ref="M4:M38" ca="1" si="5">IFERROR((B4-J4)^2,0)</f>
        <v>1.2869853830123461E-6</v>
      </c>
      <c r="N4" s="28">
        <f t="shared" ref="N4:N38" ca="1" si="6">IFERROR(B4/J4,0)</f>
        <v>0.9999980347781664</v>
      </c>
      <c r="O4" s="28">
        <f ca="1">IFERROR((N3+N4+N5)/3,0)</f>
        <v>0.99999786514845457</v>
      </c>
      <c r="P4" s="28">
        <f ca="1">IFERROR(N4/O4,0)</f>
        <v>1.000000169630074</v>
      </c>
    </row>
    <row r="5" spans="1:17" s="30" customFormat="1" x14ac:dyDescent="0.25">
      <c r="A5" s="21" t="str">
        <f>'Step 1 - Trending'!B12</f>
        <v>2015 Dec</v>
      </c>
      <c r="B5" s="22">
        <f ca="1">'Step 1 - Trending'!D12</f>
        <v>-495.0420168067227</v>
      </c>
      <c r="C5" s="23">
        <v>3</v>
      </c>
      <c r="D5" s="24"/>
      <c r="E5" s="24"/>
      <c r="F5" s="25"/>
      <c r="G5" s="25">
        <f ca="1">$D$52</f>
        <v>1.0000000000000009</v>
      </c>
      <c r="H5" s="25">
        <f t="shared" ca="1" si="0"/>
        <v>-495.04201680672224</v>
      </c>
      <c r="I5" s="26">
        <f t="shared" ca="1" si="1"/>
        <v>-495.04399999999998</v>
      </c>
      <c r="J5" s="26">
        <f t="shared" ca="1" si="2"/>
        <v>-495.04400000000044</v>
      </c>
      <c r="K5" s="26">
        <f t="shared" ca="1" si="3"/>
        <v>1.9831932777378825E-3</v>
      </c>
      <c r="L5" s="27">
        <f t="shared" ca="1" si="4"/>
        <v>4.0061110176677645E-6</v>
      </c>
      <c r="M5" s="26">
        <f t="shared" ca="1" si="5"/>
        <v>3.9330555768647261E-6</v>
      </c>
      <c r="N5" s="28">
        <f t="shared" ca="1" si="6"/>
        <v>0.99999599390503124</v>
      </c>
      <c r="O5" s="28">
        <f t="shared" ref="O5:O37" ca="1" si="7">IFERROR((N4+N5+N6)/3,0)</f>
        <v>0.99999572292105032</v>
      </c>
      <c r="P5" s="28">
        <f t="shared" ref="P5:P37" ca="1" si="8">IFERROR(N5/O5,0)</f>
        <v>1.0000002709851399</v>
      </c>
    </row>
    <row r="6" spans="1:17" s="30" customFormat="1" x14ac:dyDescent="0.25">
      <c r="A6" s="21" t="str">
        <f>'Step 1 - Trending'!B13</f>
        <v>2016 Jan</v>
      </c>
      <c r="B6" s="22">
        <f ca="1">'Step 1 - Trending'!D13</f>
        <v>-412.82016806722692</v>
      </c>
      <c r="C6" s="23">
        <v>4</v>
      </c>
      <c r="D6" s="24"/>
      <c r="E6" s="24"/>
      <c r="F6" s="25"/>
      <c r="G6" s="25">
        <f ca="1">$E$52</f>
        <v>1.0000000000000007</v>
      </c>
      <c r="H6" s="25">
        <f t="shared" ca="1" si="0"/>
        <v>-412.82016806722663</v>
      </c>
      <c r="I6" s="26">
        <f t="shared" ca="1" si="1"/>
        <v>-412.82299999999998</v>
      </c>
      <c r="J6" s="26">
        <f t="shared" ca="1" si="2"/>
        <v>-412.82300000000026</v>
      </c>
      <c r="K6" s="26">
        <f t="shared" ca="1" si="3"/>
        <v>2.8319327733470345E-3</v>
      </c>
      <c r="L6" s="27">
        <f t="shared" ca="1" si="4"/>
        <v>6.8599671053034893E-6</v>
      </c>
      <c r="M6" s="26">
        <f t="shared" ca="1" si="5"/>
        <v>8.0198432327570272E-6</v>
      </c>
      <c r="N6" s="28">
        <f t="shared" ca="1" si="6"/>
        <v>0.99999314007995355</v>
      </c>
      <c r="O6" s="28">
        <f t="shared" ca="1" si="7"/>
        <v>0.99999266691412914</v>
      </c>
      <c r="P6" s="28">
        <f t="shared" ca="1" si="8"/>
        <v>1.0000004731692942</v>
      </c>
    </row>
    <row r="7" spans="1:17" s="30" customFormat="1" x14ac:dyDescent="0.25">
      <c r="A7" s="21" t="str">
        <f>'Step 1 - Trending'!B14</f>
        <v>2016 Feb</v>
      </c>
      <c r="B7" s="22">
        <f ca="1">'Step 1 - Trending'!D14</f>
        <v>-330.59831932773113</v>
      </c>
      <c r="C7" s="23">
        <v>5</v>
      </c>
      <c r="D7" s="24"/>
      <c r="E7" s="24"/>
      <c r="F7" s="25"/>
      <c r="G7" s="25">
        <f ca="1">$F$52</f>
        <v>1.0000000000000009</v>
      </c>
      <c r="H7" s="25">
        <f t="shared" ca="1" si="0"/>
        <v>-330.59831932773085</v>
      </c>
      <c r="I7" s="26">
        <f t="shared" ca="1" si="1"/>
        <v>-330.60199999999998</v>
      </c>
      <c r="J7" s="26">
        <f t="shared" ca="1" si="2"/>
        <v>-330.60200000000026</v>
      </c>
      <c r="K7" s="26">
        <f t="shared" ca="1" si="3"/>
        <v>3.6806722691267169E-3</v>
      </c>
      <c r="L7" s="27">
        <f t="shared" ca="1" si="4"/>
        <v>1.1133366547692476E-5</v>
      </c>
      <c r="M7" s="26">
        <f t="shared" ca="1" si="5"/>
        <v>1.3547348352718415E-5</v>
      </c>
      <c r="N7" s="28">
        <f t="shared" ca="1" si="6"/>
        <v>0.99998886675740273</v>
      </c>
      <c r="O7" s="28">
        <f t="shared" ca="1" si="7"/>
        <v>0.99998792369854428</v>
      </c>
      <c r="P7" s="28">
        <f t="shared" ca="1" si="8"/>
        <v>1.0000009430702472</v>
      </c>
    </row>
    <row r="8" spans="1:17" s="30" customFormat="1" x14ac:dyDescent="0.25">
      <c r="A8" s="21" t="str">
        <f>'Step 1 - Trending'!B15</f>
        <v>2016 Mar</v>
      </c>
      <c r="B8" s="22">
        <f ca="1">'Step 1 - Trending'!D15</f>
        <v>-248.37647058823529</v>
      </c>
      <c r="C8" s="23">
        <v>6</v>
      </c>
      <c r="D8" s="25">
        <f ca="1">(B3+B4+B5+B6+B7+B8+B9+B10+B11+B12+B13+B14)/12</f>
        <v>-207.2655462184874</v>
      </c>
      <c r="E8" s="24"/>
      <c r="F8" s="25"/>
      <c r="G8" s="25">
        <f ca="1">$G$52</f>
        <v>1.0000000000000011</v>
      </c>
      <c r="H8" s="25">
        <f t="shared" ca="1" si="0"/>
        <v>-248.37647058823501</v>
      </c>
      <c r="I8" s="26">
        <f t="shared" ca="1" si="1"/>
        <v>-248.38099999999997</v>
      </c>
      <c r="J8" s="26">
        <f t="shared" ca="1" si="2"/>
        <v>-248.38100000000026</v>
      </c>
      <c r="K8" s="26">
        <f t="shared" ca="1" si="3"/>
        <v>4.5294117649632426E-3</v>
      </c>
      <c r="L8" s="27">
        <f t="shared" ca="1" si="4"/>
        <v>1.8236074271593198E-5</v>
      </c>
      <c r="M8" s="26">
        <f t="shared" ca="1" si="5"/>
        <v>2.0515570936587435E-5</v>
      </c>
      <c r="N8" s="28">
        <f t="shared" ca="1" si="6"/>
        <v>0.99998176425827678</v>
      </c>
      <c r="O8" s="28">
        <f t="shared" ca="1" si="7"/>
        <v>0.99997942123717054</v>
      </c>
      <c r="P8" s="28">
        <f t="shared" ca="1" si="8"/>
        <v>1.0000023430693237</v>
      </c>
    </row>
    <row r="9" spans="1:17" s="30" customFormat="1" x14ac:dyDescent="0.25">
      <c r="A9" s="21" t="str">
        <f>'Step 1 - Trending'!B16</f>
        <v>2016 Apr</v>
      </c>
      <c r="B9" s="22">
        <f ca="1">'Step 1 - Trending'!D16</f>
        <v>-166.15462184873957</v>
      </c>
      <c r="C9" s="23">
        <v>7</v>
      </c>
      <c r="D9" s="25">
        <f ca="1">(B4+B5+B6+B7+B8+B9+B10+B11+B12+B13+B14+B15)/12</f>
        <v>-125.04369747899166</v>
      </c>
      <c r="E9" s="25">
        <f ca="1">(D8+D9)/2</f>
        <v>-166.15462184873954</v>
      </c>
      <c r="F9" s="31">
        <f ca="1">IFERROR(B9/E9,0)</f>
        <v>1.0000000000000002</v>
      </c>
      <c r="G9" s="25">
        <f ca="1">$H$52</f>
        <v>1.0000000000000011</v>
      </c>
      <c r="H9" s="25">
        <f t="shared" ca="1" si="0"/>
        <v>-166.1546218487394</v>
      </c>
      <c r="I9" s="26">
        <f t="shared" ca="1" si="1"/>
        <v>-166.15999999999997</v>
      </c>
      <c r="J9" s="26">
        <f t="shared" ca="1" si="2"/>
        <v>-166.16000000000014</v>
      </c>
      <c r="K9" s="26">
        <f t="shared" ca="1" si="3"/>
        <v>5.3781512605723947E-3</v>
      </c>
      <c r="L9" s="27">
        <f t="shared" ca="1" si="4"/>
        <v>3.2368351844394947E-5</v>
      </c>
      <c r="M9" s="26">
        <f t="shared" ca="1" si="5"/>
        <v>2.8924510981596438E-5</v>
      </c>
      <c r="N9" s="28">
        <f t="shared" ca="1" si="6"/>
        <v>0.99996763269583189</v>
      </c>
      <c r="O9" s="28">
        <f t="shared" ca="1" si="7"/>
        <v>0.99995840447695994</v>
      </c>
      <c r="P9" s="28">
        <f t="shared" ca="1" si="8"/>
        <v>1.0000092286027404</v>
      </c>
    </row>
    <row r="10" spans="1:17" s="30" customFormat="1" x14ac:dyDescent="0.25">
      <c r="A10" s="21" t="str">
        <f>'Step 1 - Trending'!B17</f>
        <v>2016 May</v>
      </c>
      <c r="B10" s="22">
        <f ca="1">'Step 1 - Trending'!D17</f>
        <v>-83.932773109243726</v>
      </c>
      <c r="C10" s="23">
        <v>8</v>
      </c>
      <c r="D10" s="25">
        <f t="shared" ref="D10:D31" ca="1" si="9">(B5+B6+B7+B8+B9+B10+B11+B12+B13+B14+B15+B16)/12</f>
        <v>-42.821848739495842</v>
      </c>
      <c r="E10" s="25">
        <f t="shared" ref="E10:E32" ca="1" si="10">(D9+D10)/2</f>
        <v>-83.932773109243755</v>
      </c>
      <c r="F10" s="31">
        <f t="shared" ref="F10:F32" ca="1" si="11">IFERROR(B10/E10,0)</f>
        <v>0.99999999999999967</v>
      </c>
      <c r="G10" s="25">
        <f ca="1">$I$52</f>
        <v>1.0000000000000007</v>
      </c>
      <c r="H10" s="25">
        <f t="shared" ca="1" si="0"/>
        <v>-83.932773109243669</v>
      </c>
      <c r="I10" s="26">
        <f t="shared" ca="1" si="1"/>
        <v>-83.938999999999965</v>
      </c>
      <c r="J10" s="26">
        <f t="shared" ca="1" si="2"/>
        <v>-83.939000000000021</v>
      </c>
      <c r="K10" s="26">
        <f t="shared" ca="1" si="3"/>
        <v>6.2268907562952336E-3</v>
      </c>
      <c r="L10" s="27">
        <f t="shared" ca="1" si="4"/>
        <v>7.4189026832111786E-5</v>
      </c>
      <c r="M10" s="26">
        <f t="shared" ca="1" si="5"/>
        <v>3.8774168490835025E-5</v>
      </c>
      <c r="N10" s="28">
        <f t="shared" ca="1" si="6"/>
        <v>0.99992581647677126</v>
      </c>
      <c r="O10" s="28">
        <f t="shared" ca="1" si="7"/>
        <v>0.99859164055616478</v>
      </c>
      <c r="P10" s="28">
        <f t="shared" ca="1" si="8"/>
        <v>1.0013360575699026</v>
      </c>
    </row>
    <row r="11" spans="1:17" s="30" customFormat="1" x14ac:dyDescent="0.25">
      <c r="A11" s="21" t="str">
        <f>'Step 1 - Trending'!B18</f>
        <v>2016 Jun</v>
      </c>
      <c r="B11" s="22">
        <f ca="1">'Step 1 - Trending'!D18</f>
        <v>-1.710924369747886</v>
      </c>
      <c r="C11" s="23">
        <v>9</v>
      </c>
      <c r="D11" s="25">
        <f t="shared" ca="1" si="9"/>
        <v>39.4</v>
      </c>
      <c r="E11" s="25">
        <f t="shared" ca="1" si="10"/>
        <v>-1.7109243697479215</v>
      </c>
      <c r="F11" s="31">
        <f t="shared" ca="1" si="11"/>
        <v>0.99999999999997924</v>
      </c>
      <c r="G11" s="25">
        <f ca="1">$J$52</f>
        <v>0.99999999999999067</v>
      </c>
      <c r="H11" s="25">
        <f t="shared" ca="1" si="0"/>
        <v>-1.710924369747902</v>
      </c>
      <c r="I11" s="26">
        <f t="shared" ca="1" si="1"/>
        <v>-1.7179999999999609</v>
      </c>
      <c r="J11" s="26">
        <f t="shared" ca="1" si="2"/>
        <v>-1.7179999999999449</v>
      </c>
      <c r="K11" s="26">
        <f t="shared" ca="1" si="3"/>
        <v>7.0756302520589287E-3</v>
      </c>
      <c r="L11" s="27">
        <f t="shared" ca="1" si="4"/>
        <v>4.1355599213900741E-3</v>
      </c>
      <c r="M11" s="26">
        <f t="shared" ca="1" si="5"/>
        <v>5.0064543463851497E-5</v>
      </c>
      <c r="N11" s="28">
        <f t="shared" ca="1" si="6"/>
        <v>0.9958814724958911</v>
      </c>
      <c r="O11" s="28">
        <f t="shared" ca="1" si="7"/>
        <v>0.99863524155999972</v>
      </c>
      <c r="P11" s="28">
        <f t="shared" ca="1" si="8"/>
        <v>0.99724246757023427</v>
      </c>
    </row>
    <row r="12" spans="1:17" s="30" customFormat="1" x14ac:dyDescent="0.25">
      <c r="A12" s="21" t="str">
        <f>'Step 1 - Trending'!B19</f>
        <v>2016 Jul</v>
      </c>
      <c r="B12" s="22">
        <f ca="1">'Step 1 - Trending'!D19</f>
        <v>80.510924369747841</v>
      </c>
      <c r="C12" s="23">
        <v>10</v>
      </c>
      <c r="D12" s="25">
        <f t="shared" ca="1" si="9"/>
        <v>121.62184873949577</v>
      </c>
      <c r="E12" s="25">
        <f t="shared" ca="1" si="10"/>
        <v>80.510924369747883</v>
      </c>
      <c r="F12" s="31">
        <f t="shared" ca="1" si="11"/>
        <v>0.99999999999999944</v>
      </c>
      <c r="G12" s="25">
        <f ca="1">$K$52</f>
        <v>1.0000000000000007</v>
      </c>
      <c r="H12" s="25">
        <f t="shared" ca="1" si="0"/>
        <v>80.510924369747784</v>
      </c>
      <c r="I12" s="26">
        <f t="shared" ca="1" si="1"/>
        <v>80.503000000000043</v>
      </c>
      <c r="J12" s="26">
        <f t="shared" ca="1" si="2"/>
        <v>80.5030000000001</v>
      </c>
      <c r="K12" s="26">
        <f t="shared" ca="1" si="3"/>
        <v>7.9243697477409114E-3</v>
      </c>
      <c r="L12" s="27">
        <f t="shared" ca="1" si="4"/>
        <v>9.8426018702109342E-5</v>
      </c>
      <c r="M12" s="26">
        <f t="shared" ca="1" si="5"/>
        <v>6.2795635898911352E-5</v>
      </c>
      <c r="N12" s="28">
        <f t="shared" ca="1" si="6"/>
        <v>1.0000984357073368</v>
      </c>
      <c r="O12" s="28">
        <f t="shared" ca="1" si="7"/>
        <v>0.99867794074978811</v>
      </c>
      <c r="P12" s="28">
        <f t="shared" ca="1" si="8"/>
        <v>1.0014223754221327</v>
      </c>
    </row>
    <row r="13" spans="1:17" s="30" customFormat="1" x14ac:dyDescent="0.25">
      <c r="A13" s="21" t="str">
        <f>'Step 1 - Trending'!B20</f>
        <v>2016 Aug</v>
      </c>
      <c r="B13" s="22">
        <f ca="1">'Step 1 - Trending'!D20</f>
        <v>162.73277310924368</v>
      </c>
      <c r="C13" s="23">
        <v>11</v>
      </c>
      <c r="D13" s="25">
        <f t="shared" ca="1" si="9"/>
        <v>203.84369747899157</v>
      </c>
      <c r="E13" s="25">
        <f t="shared" ca="1" si="10"/>
        <v>162.73277310924368</v>
      </c>
      <c r="F13" s="31">
        <f t="shared" ca="1" si="11"/>
        <v>1</v>
      </c>
      <c r="G13" s="25">
        <f ca="1">$L$52</f>
        <v>1.0000000000000009</v>
      </c>
      <c r="H13" s="25">
        <f t="shared" ca="1" si="0"/>
        <v>162.73277310924354</v>
      </c>
      <c r="I13" s="26">
        <f t="shared" ca="1" si="1"/>
        <v>162.72400000000005</v>
      </c>
      <c r="J13" s="26">
        <f t="shared" ca="1" si="2"/>
        <v>162.72400000000019</v>
      </c>
      <c r="K13" s="26">
        <f t="shared" ca="1" si="3"/>
        <v>8.773109243492172E-3</v>
      </c>
      <c r="L13" s="27">
        <f t="shared" ca="1" si="4"/>
        <v>5.3911139568688603E-5</v>
      </c>
      <c r="M13" s="26">
        <f t="shared" ca="1" si="5"/>
        <v>7.6967445798247787E-5</v>
      </c>
      <c r="N13" s="28">
        <f t="shared" ca="1" si="6"/>
        <v>1.0000539140461364</v>
      </c>
      <c r="O13" s="28">
        <f t="shared" ca="1" si="7"/>
        <v>1.000063877141268</v>
      </c>
      <c r="P13" s="28">
        <f t="shared" ca="1" si="8"/>
        <v>0.99999003754124183</v>
      </c>
    </row>
    <row r="14" spans="1:17" s="30" customFormat="1" x14ac:dyDescent="0.25">
      <c r="A14" s="21" t="str">
        <f>'Step 1 - Trending'!B21</f>
        <v>2016 Sep</v>
      </c>
      <c r="B14" s="22">
        <f ca="1">'Step 1 - Trending'!D21</f>
        <v>244.95462184873952</v>
      </c>
      <c r="C14" s="23">
        <v>12</v>
      </c>
      <c r="D14" s="25">
        <f t="shared" ca="1" si="9"/>
        <v>286.06554621848738</v>
      </c>
      <c r="E14" s="25">
        <f t="shared" ca="1" si="10"/>
        <v>244.95462184873946</v>
      </c>
      <c r="F14" s="31">
        <f t="shared" ca="1" si="11"/>
        <v>1.0000000000000002</v>
      </c>
      <c r="G14" s="25">
        <f ca="1">$M$52</f>
        <v>1.0000000000000009</v>
      </c>
      <c r="H14" s="25">
        <f t="shared" ca="1" si="0"/>
        <v>244.95462184873929</v>
      </c>
      <c r="I14" s="26">
        <f t="shared" ca="1" si="1"/>
        <v>244.94500000000005</v>
      </c>
      <c r="J14" s="26">
        <f t="shared" ca="1" si="2"/>
        <v>244.94500000000028</v>
      </c>
      <c r="K14" s="26">
        <f t="shared" ca="1" si="3"/>
        <v>9.6218487392434326E-3</v>
      </c>
      <c r="L14" s="27">
        <f t="shared" ca="1" si="4"/>
        <v>3.928012734205507E-5</v>
      </c>
      <c r="M14" s="26">
        <f t="shared" ca="1" si="5"/>
        <v>9.2579973160880434E-5</v>
      </c>
      <c r="N14" s="28">
        <f t="shared" ca="1" si="6"/>
        <v>1.000039281670331</v>
      </c>
      <c r="O14" s="28">
        <f t="shared" ca="1" si="7"/>
        <v>1.000041733205782</v>
      </c>
      <c r="P14" s="28">
        <f t="shared" ca="1" si="8"/>
        <v>0.99999754856685508</v>
      </c>
    </row>
    <row r="15" spans="1:17" s="35" customFormat="1" x14ac:dyDescent="0.25">
      <c r="A15" s="32" t="str">
        <f>'Step 1 - Trending'!B22</f>
        <v>2016 Oct</v>
      </c>
      <c r="B15" s="22">
        <f ca="1">'Step 1 - Trending'!D22</f>
        <v>327.17647058823525</v>
      </c>
      <c r="C15" s="33">
        <v>13</v>
      </c>
      <c r="D15" s="34">
        <f t="shared" ca="1" si="9"/>
        <v>368.28739495798322</v>
      </c>
      <c r="E15" s="34">
        <f t="shared" ca="1" si="10"/>
        <v>327.1764705882353</v>
      </c>
      <c r="F15" s="31">
        <f t="shared" ca="1" si="11"/>
        <v>0.99999999999999978</v>
      </c>
      <c r="G15" s="34">
        <f ca="1">$B$52</f>
        <v>1.0000000000000007</v>
      </c>
      <c r="H15" s="25">
        <f t="shared" ca="1" si="0"/>
        <v>327.17647058823502</v>
      </c>
      <c r="I15" s="26">
        <f t="shared" ca="1" si="1"/>
        <v>327.16600000000005</v>
      </c>
      <c r="J15" s="26">
        <f t="shared" ca="1" si="2"/>
        <v>327.16600000000028</v>
      </c>
      <c r="K15" s="26">
        <f t="shared" ca="1" si="3"/>
        <v>1.0470588234966272E-2</v>
      </c>
      <c r="L15" s="27">
        <f t="shared" ca="1" si="4"/>
        <v>3.2002876662068794E-5</v>
      </c>
      <c r="M15" s="26">
        <f t="shared" ca="1" si="5"/>
        <v>1.0963321798621411E-4</v>
      </c>
      <c r="N15" s="28">
        <f t="shared" ca="1" si="6"/>
        <v>1.000032003900879</v>
      </c>
      <c r="O15" s="28">
        <f t="shared" ca="1" si="7"/>
        <v>1.0000329783423114</v>
      </c>
      <c r="P15" s="28">
        <f t="shared" ca="1" si="8"/>
        <v>0.99999902559070197</v>
      </c>
    </row>
    <row r="16" spans="1:17" s="35" customFormat="1" x14ac:dyDescent="0.25">
      <c r="A16" s="32" t="str">
        <f>'Step 1 - Trending'!B23</f>
        <v>2016 Nov</v>
      </c>
      <c r="B16" s="22">
        <f ca="1">'Step 1 - Trending'!D23</f>
        <v>409.39831932773097</v>
      </c>
      <c r="C16" s="33">
        <v>14</v>
      </c>
      <c r="D16" s="34">
        <f t="shared" ca="1" si="9"/>
        <v>450.50924369747901</v>
      </c>
      <c r="E16" s="34">
        <f t="shared" ca="1" si="10"/>
        <v>409.39831932773109</v>
      </c>
      <c r="F16" s="31">
        <f t="shared" ca="1" si="11"/>
        <v>0.99999999999999967</v>
      </c>
      <c r="G16" s="34">
        <f ca="1">$C$52</f>
        <v>1.0000000000000007</v>
      </c>
      <c r="H16" s="25">
        <f t="shared" ca="1" si="0"/>
        <v>409.39831932773069</v>
      </c>
      <c r="I16" s="26">
        <f t="shared" ca="1" si="1"/>
        <v>409.38700000000006</v>
      </c>
      <c r="J16" s="26">
        <f t="shared" ca="1" si="2"/>
        <v>409.38700000000034</v>
      </c>
      <c r="K16" s="26">
        <f t="shared" ca="1" si="3"/>
        <v>1.1319327730632267E-2</v>
      </c>
      <c r="L16" s="27">
        <f t="shared" ca="1" si="4"/>
        <v>2.7648691253104375E-5</v>
      </c>
      <c r="M16" s="26">
        <f t="shared" ca="1" si="5"/>
        <v>1.2812718027346062E-4</v>
      </c>
      <c r="N16" s="28">
        <f t="shared" ca="1" si="6"/>
        <v>1.0000276494557243</v>
      </c>
      <c r="O16" s="28">
        <f t="shared" ca="1" si="7"/>
        <v>1.0000281349737727</v>
      </c>
      <c r="P16" s="28">
        <f t="shared" ca="1" si="8"/>
        <v>0.9999995144956112</v>
      </c>
    </row>
    <row r="17" spans="1:16" s="35" customFormat="1" x14ac:dyDescent="0.25">
      <c r="A17" s="32" t="str">
        <f>'Step 1 - Trending'!B24</f>
        <v>2016 Dec</v>
      </c>
      <c r="B17" s="22">
        <f ca="1">'Step 1 - Trending'!D24</f>
        <v>491.62016806722693</v>
      </c>
      <c r="C17" s="33">
        <v>15</v>
      </c>
      <c r="D17" s="34">
        <f t="shared" ca="1" si="9"/>
        <v>532.73109243697479</v>
      </c>
      <c r="E17" s="34">
        <f t="shared" ca="1" si="10"/>
        <v>491.62016806722693</v>
      </c>
      <c r="F17" s="31">
        <f t="shared" ca="1" si="11"/>
        <v>1</v>
      </c>
      <c r="G17" s="34">
        <f ca="1">$D$52</f>
        <v>1.0000000000000009</v>
      </c>
      <c r="H17" s="25">
        <f t="shared" ca="1" si="0"/>
        <v>491.62016806722647</v>
      </c>
      <c r="I17" s="26">
        <f t="shared" ca="1" si="1"/>
        <v>491.60800000000006</v>
      </c>
      <c r="J17" s="26">
        <f t="shared" ca="1" si="2"/>
        <v>491.60800000000052</v>
      </c>
      <c r="K17" s="26">
        <f t="shared" ca="1" si="3"/>
        <v>1.2168067226411949E-2</v>
      </c>
      <c r="L17" s="27">
        <f t="shared" ca="1" si="4"/>
        <v>2.4750952090208022E-5</v>
      </c>
      <c r="M17" s="26">
        <f t="shared" ca="1" si="5"/>
        <v>1.4806186002648059E-4</v>
      </c>
      <c r="N17" s="28">
        <f t="shared" ca="1" si="6"/>
        <v>1.0000247515647149</v>
      </c>
      <c r="O17" s="28">
        <f t="shared" ca="1" si="7"/>
        <v>1.0000250283806267</v>
      </c>
      <c r="P17" s="28">
        <f t="shared" ca="1" si="8"/>
        <v>0.99999972319101638</v>
      </c>
    </row>
    <row r="18" spans="1:16" s="35" customFormat="1" x14ac:dyDescent="0.25">
      <c r="A18" s="32" t="str">
        <f>'Step 1 - Trending'!B25</f>
        <v>2017 Jan</v>
      </c>
      <c r="B18" s="22">
        <f ca="1">'Step 1 - Trending'!D25</f>
        <v>573.84201680672265</v>
      </c>
      <c r="C18" s="33">
        <v>16</v>
      </c>
      <c r="D18" s="34">
        <f t="shared" ca="1" si="9"/>
        <v>614.95294117647063</v>
      </c>
      <c r="E18" s="34">
        <f t="shared" ca="1" si="10"/>
        <v>573.84201680672277</v>
      </c>
      <c r="F18" s="31">
        <f t="shared" ca="1" si="11"/>
        <v>0.99999999999999978</v>
      </c>
      <c r="G18" s="34">
        <f ca="1">$E$52</f>
        <v>1.0000000000000007</v>
      </c>
      <c r="H18" s="25">
        <f t="shared" ca="1" si="0"/>
        <v>573.84201680672231</v>
      </c>
      <c r="I18" s="26">
        <f t="shared" ca="1" si="1"/>
        <v>573.82900000000006</v>
      </c>
      <c r="J18" s="26">
        <f t="shared" ca="1" si="2"/>
        <v>573.82900000000041</v>
      </c>
      <c r="K18" s="26">
        <f t="shared" ca="1" si="3"/>
        <v>1.3016806722248475E-2</v>
      </c>
      <c r="L18" s="27">
        <f t="shared" ca="1" si="4"/>
        <v>2.2683606883099157E-5</v>
      </c>
      <c r="M18" s="26">
        <f t="shared" ca="1" si="5"/>
        <v>1.6943725724437309E-4</v>
      </c>
      <c r="N18" s="28">
        <f t="shared" ca="1" si="6"/>
        <v>1.0000226841214408</v>
      </c>
      <c r="O18" s="28">
        <f t="shared" ca="1" si="7"/>
        <v>1.0000228568595484</v>
      </c>
      <c r="P18" s="28">
        <f t="shared" ca="1" si="8"/>
        <v>0.99999982726584058</v>
      </c>
    </row>
    <row r="19" spans="1:16" s="35" customFormat="1" x14ac:dyDescent="0.25">
      <c r="A19" s="32" t="str">
        <f>'Step 1 - Trending'!B26</f>
        <v>2017 Feb</v>
      </c>
      <c r="B19" s="22">
        <f ca="1">'Step 1 - Trending'!D26</f>
        <v>656.06386554621838</v>
      </c>
      <c r="C19" s="33">
        <v>17</v>
      </c>
      <c r="D19" s="34">
        <f t="shared" ca="1" si="9"/>
        <v>697.17478991596636</v>
      </c>
      <c r="E19" s="34">
        <f t="shared" ca="1" si="10"/>
        <v>656.06386554621849</v>
      </c>
      <c r="F19" s="31">
        <f t="shared" ca="1" si="11"/>
        <v>0.99999999999999978</v>
      </c>
      <c r="G19" s="34">
        <f ca="1">$F$52</f>
        <v>1.0000000000000009</v>
      </c>
      <c r="H19" s="25">
        <f t="shared" ca="1" si="0"/>
        <v>656.06386554621781</v>
      </c>
      <c r="I19" s="26">
        <f t="shared" ca="1" si="1"/>
        <v>656.05000000000007</v>
      </c>
      <c r="J19" s="26">
        <f t="shared" ca="1" si="2"/>
        <v>656.05000000000064</v>
      </c>
      <c r="K19" s="26">
        <f t="shared" ca="1" si="3"/>
        <v>1.386554621774394E-2</v>
      </c>
      <c r="L19" s="27">
        <f t="shared" ca="1" si="4"/>
        <v>2.1134445815271226E-5</v>
      </c>
      <c r="M19" s="26">
        <f t="shared" ca="1" si="5"/>
        <v>1.922533719163933E-4</v>
      </c>
      <c r="N19" s="28">
        <f t="shared" ca="1" si="6"/>
        <v>1.0000211348924894</v>
      </c>
      <c r="O19" s="28">
        <f t="shared" ca="1" si="7"/>
        <v>1.0000212499172376</v>
      </c>
      <c r="P19" s="28">
        <f t="shared" ca="1" si="8"/>
        <v>0.9999998849776961</v>
      </c>
    </row>
    <row r="20" spans="1:16" s="35" customFormat="1" x14ac:dyDescent="0.25">
      <c r="A20" s="32" t="str">
        <f>'Step 1 - Trending'!B27</f>
        <v>2017 Mar</v>
      </c>
      <c r="B20" s="22">
        <f ca="1">'Step 1 - Trending'!D27</f>
        <v>738.28571428571433</v>
      </c>
      <c r="C20" s="33">
        <v>18</v>
      </c>
      <c r="D20" s="34">
        <f t="shared" ca="1" si="9"/>
        <v>779.39663865546208</v>
      </c>
      <c r="E20" s="34">
        <f t="shared" ca="1" si="10"/>
        <v>738.28571428571422</v>
      </c>
      <c r="F20" s="31">
        <f t="shared" ca="1" si="11"/>
        <v>1.0000000000000002</v>
      </c>
      <c r="G20" s="34">
        <f ca="1">$G$52</f>
        <v>1.0000000000000011</v>
      </c>
      <c r="H20" s="25">
        <f t="shared" ca="1" si="0"/>
        <v>738.28571428571354</v>
      </c>
      <c r="I20" s="26">
        <f t="shared" ca="1" si="1"/>
        <v>738.27100000000007</v>
      </c>
      <c r="J20" s="26">
        <f t="shared" ca="1" si="2"/>
        <v>738.27100000000087</v>
      </c>
      <c r="K20" s="26">
        <f t="shared" ca="1" si="3"/>
        <v>1.4714285713466779E-2</v>
      </c>
      <c r="L20" s="27">
        <f t="shared" ca="1" si="4"/>
        <v>1.9930340556166303E-5</v>
      </c>
      <c r="M20" s="26">
        <f t="shared" ca="1" si="5"/>
        <v>2.1651020405753256E-4</v>
      </c>
      <c r="N20" s="28">
        <f t="shared" ca="1" si="6"/>
        <v>1.0000199307377826</v>
      </c>
      <c r="O20" s="28">
        <f t="shared" ca="1" si="7"/>
        <v>1.0000200111828523</v>
      </c>
      <c r="P20" s="28">
        <f t="shared" ca="1" si="8"/>
        <v>0.99999991955654011</v>
      </c>
    </row>
    <row r="21" spans="1:16" s="35" customFormat="1" x14ac:dyDescent="0.25">
      <c r="A21" s="32" t="str">
        <f>'Step 1 - Trending'!B28</f>
        <v>2017 Apr</v>
      </c>
      <c r="B21" s="22">
        <f ca="1">'Step 1 - Trending'!D28</f>
        <v>820.50756302521006</v>
      </c>
      <c r="C21" s="33">
        <v>19</v>
      </c>
      <c r="D21" s="34">
        <f t="shared" ca="1" si="9"/>
        <v>861.61848739495792</v>
      </c>
      <c r="E21" s="34">
        <f t="shared" ca="1" si="10"/>
        <v>820.50756302520995</v>
      </c>
      <c r="F21" s="31">
        <f t="shared" ca="1" si="11"/>
        <v>1.0000000000000002</v>
      </c>
      <c r="G21" s="34">
        <f ca="1">$H$52</f>
        <v>1.0000000000000011</v>
      </c>
      <c r="H21" s="25">
        <f t="shared" ca="1" si="0"/>
        <v>820.50756302520915</v>
      </c>
      <c r="I21" s="26">
        <f t="shared" ca="1" si="1"/>
        <v>820.49200000000008</v>
      </c>
      <c r="J21" s="26">
        <f t="shared" ca="1" si="2"/>
        <v>820.49200000000098</v>
      </c>
      <c r="K21" s="26">
        <f t="shared" ca="1" si="3"/>
        <v>1.5563025209075931E-2</v>
      </c>
      <c r="L21" s="27">
        <f t="shared" ca="1" si="4"/>
        <v>1.8967558509387874E-5</v>
      </c>
      <c r="M21" s="26">
        <f t="shared" ca="1" si="5"/>
        <v>2.4220775365833293E-4</v>
      </c>
      <c r="N21" s="28">
        <f t="shared" ca="1" si="6"/>
        <v>1.0000189679182845</v>
      </c>
      <c r="O21" s="28">
        <f t="shared" ca="1" si="7"/>
        <v>1.0000190263820354</v>
      </c>
      <c r="P21" s="28">
        <f t="shared" ca="1" si="8"/>
        <v>0.99999994153736138</v>
      </c>
    </row>
    <row r="22" spans="1:16" s="35" customFormat="1" x14ac:dyDescent="0.25">
      <c r="A22" s="32" t="str">
        <f>'Step 1 - Trending'!B29</f>
        <v>2017 May</v>
      </c>
      <c r="B22" s="22">
        <f ca="1">'Step 1 - Trending'!D29</f>
        <v>902.72941176470579</v>
      </c>
      <c r="C22" s="33">
        <v>20</v>
      </c>
      <c r="D22" s="34">
        <f t="shared" ca="1" si="9"/>
        <v>943.84033613445388</v>
      </c>
      <c r="E22" s="34">
        <f t="shared" ca="1" si="10"/>
        <v>902.7294117647059</v>
      </c>
      <c r="F22" s="31">
        <f t="shared" ca="1" si="11"/>
        <v>0.99999999999999989</v>
      </c>
      <c r="G22" s="34">
        <f ca="1">$I$52</f>
        <v>1.0000000000000007</v>
      </c>
      <c r="H22" s="25">
        <f t="shared" ca="1" si="0"/>
        <v>902.72941176470522</v>
      </c>
      <c r="I22" s="26">
        <f t="shared" ca="1" si="1"/>
        <v>902.71300000000008</v>
      </c>
      <c r="J22" s="26">
        <f t="shared" ca="1" si="2"/>
        <v>902.71300000000065</v>
      </c>
      <c r="K22" s="26">
        <f t="shared" ca="1" si="3"/>
        <v>1.6411764705139831E-2</v>
      </c>
      <c r="L22" s="27">
        <f t="shared" ca="1" si="4"/>
        <v>1.8180159515415808E-5</v>
      </c>
      <c r="M22" s="26">
        <f t="shared" ca="1" si="5"/>
        <v>2.6934602073687349E-4</v>
      </c>
      <c r="N22" s="28">
        <f t="shared" ca="1" si="6"/>
        <v>1.0000181804900397</v>
      </c>
      <c r="O22" s="28">
        <f t="shared" ca="1" si="7"/>
        <v>1.0000182243123616</v>
      </c>
      <c r="P22" s="28">
        <f t="shared" ca="1" si="8"/>
        <v>0.99999995617847659</v>
      </c>
    </row>
    <row r="23" spans="1:16" s="35" customFormat="1" x14ac:dyDescent="0.25">
      <c r="A23" s="32" t="str">
        <f>'Step 1 - Trending'!B30</f>
        <v>2017 Jun</v>
      </c>
      <c r="B23" s="22">
        <f ca="1">'Step 1 - Trending'!D30</f>
        <v>984.95126050420174</v>
      </c>
      <c r="C23" s="33">
        <v>21</v>
      </c>
      <c r="D23" s="34">
        <f t="shared" ca="1" si="9"/>
        <v>1026.0621848739495</v>
      </c>
      <c r="E23" s="34">
        <f t="shared" ca="1" si="10"/>
        <v>984.95126050420163</v>
      </c>
      <c r="F23" s="31">
        <f t="shared" ca="1" si="11"/>
        <v>1.0000000000000002</v>
      </c>
      <c r="G23" s="34">
        <f ca="1">$J$52</f>
        <v>0.99999999999999067</v>
      </c>
      <c r="H23" s="25">
        <f t="shared" ca="1" si="0"/>
        <v>984.95126050421095</v>
      </c>
      <c r="I23" s="26">
        <f t="shared" ca="1" si="1"/>
        <v>984.93400000000008</v>
      </c>
      <c r="J23" s="26">
        <f t="shared" ca="1" si="2"/>
        <v>984.93399999999087</v>
      </c>
      <c r="K23" s="26">
        <f t="shared" ca="1" si="3"/>
        <v>1.7260504210867111E-2</v>
      </c>
      <c r="L23" s="27">
        <f t="shared" ca="1" si="4"/>
        <v>1.7524221657456804E-5</v>
      </c>
      <c r="M23" s="26">
        <f t="shared" ca="1" si="5"/>
        <v>2.9792500561336128E-4</v>
      </c>
      <c r="N23" s="28">
        <f t="shared" ca="1" si="6"/>
        <v>1.0000175245287612</v>
      </c>
      <c r="O23" s="28">
        <f t="shared" ca="1" si="7"/>
        <v>1.0000175582219502</v>
      </c>
      <c r="P23" s="28">
        <f t="shared" ca="1" si="8"/>
        <v>0.99999996630740262</v>
      </c>
    </row>
    <row r="24" spans="1:16" s="35" customFormat="1" x14ac:dyDescent="0.25">
      <c r="A24" s="32" t="str">
        <f>'Step 1 - Trending'!B31</f>
        <v>2017 Jul</v>
      </c>
      <c r="B24" s="22">
        <f ca="1">'Step 1 - Trending'!D31</f>
        <v>1067.1731092436976</v>
      </c>
      <c r="C24" s="33">
        <v>22</v>
      </c>
      <c r="D24" s="34">
        <f t="shared" ca="1" si="9"/>
        <v>1108.2840336134452</v>
      </c>
      <c r="E24" s="34">
        <f t="shared" ca="1" si="10"/>
        <v>1067.1731092436974</v>
      </c>
      <c r="F24" s="31">
        <f t="shared" ca="1" si="11"/>
        <v>1.0000000000000002</v>
      </c>
      <c r="G24" s="34">
        <f ca="1">$K$52</f>
        <v>1.0000000000000007</v>
      </c>
      <c r="H24" s="25">
        <f t="shared" ca="1" si="0"/>
        <v>1067.1731092436969</v>
      </c>
      <c r="I24" s="26">
        <f t="shared" ca="1" si="1"/>
        <v>1067.1550000000002</v>
      </c>
      <c r="J24" s="26">
        <f t="shared" ca="1" si="2"/>
        <v>1067.1550000000009</v>
      </c>
      <c r="K24" s="26">
        <f t="shared" ca="1" si="3"/>
        <v>1.8109243696699195E-2</v>
      </c>
      <c r="L24" s="27">
        <f t="shared" ca="1" si="4"/>
        <v>1.6969359085081483E-5</v>
      </c>
      <c r="M24" s="26">
        <f t="shared" ca="1" si="5"/>
        <v>3.2794470726643952E-4</v>
      </c>
      <c r="N24" s="28">
        <f t="shared" ca="1" si="6"/>
        <v>1.0000169696470491</v>
      </c>
      <c r="O24" s="28">
        <f t="shared" ca="1" si="7"/>
        <v>1.0000169961094856</v>
      </c>
      <c r="P24" s="28">
        <f t="shared" ca="1" si="8"/>
        <v>0.99999997353801329</v>
      </c>
    </row>
    <row r="25" spans="1:16" s="35" customFormat="1" x14ac:dyDescent="0.25">
      <c r="A25" s="32" t="str">
        <f>'Step 1 - Trending'!B32</f>
        <v>2017 Aug</v>
      </c>
      <c r="B25" s="22">
        <f ca="1">'Step 1 - Trending'!D32</f>
        <v>1149.3949579831933</v>
      </c>
      <c r="C25" s="33">
        <v>23</v>
      </c>
      <c r="D25" s="34">
        <f t="shared" ca="1" si="9"/>
        <v>1190.5058823529412</v>
      </c>
      <c r="E25" s="34">
        <f t="shared" ca="1" si="10"/>
        <v>1149.3949579831933</v>
      </c>
      <c r="F25" s="31">
        <f t="shared" ca="1" si="11"/>
        <v>1</v>
      </c>
      <c r="G25" s="34">
        <f ca="1">$L$52</f>
        <v>1.0000000000000009</v>
      </c>
      <c r="H25" s="25">
        <f t="shared" ca="1" si="0"/>
        <v>1149.3949579831924</v>
      </c>
      <c r="I25" s="26">
        <f t="shared" ca="1" si="1"/>
        <v>1149.3760000000002</v>
      </c>
      <c r="J25" s="26">
        <f t="shared" ca="1" si="2"/>
        <v>1149.3760000000011</v>
      </c>
      <c r="K25" s="26">
        <f t="shared" ca="1" si="3"/>
        <v>1.8957983192194661E-2</v>
      </c>
      <c r="L25" s="27">
        <f t="shared" ca="1" si="4"/>
        <v>1.6493880593890571E-5</v>
      </c>
      <c r="M25" s="26">
        <f t="shared" ca="1" si="5"/>
        <v>3.5940512671553523E-4</v>
      </c>
      <c r="N25" s="28">
        <f t="shared" ca="1" si="6"/>
        <v>1.0000164941526464</v>
      </c>
      <c r="O25" s="28">
        <f t="shared" ca="1" si="7"/>
        <v>1.0000165153152103</v>
      </c>
      <c r="P25" s="28">
        <f t="shared" ca="1" si="8"/>
        <v>0.99999997883778557</v>
      </c>
    </row>
    <row r="26" spans="1:16" s="35" customFormat="1" x14ac:dyDescent="0.25">
      <c r="A26" s="32" t="str">
        <f>'Step 1 - Trending'!B33</f>
        <v>2017 Sep</v>
      </c>
      <c r="B26" s="22">
        <f ca="1">'Step 1 - Trending'!D33</f>
        <v>1231.616806722689</v>
      </c>
      <c r="C26" s="33">
        <v>24</v>
      </c>
      <c r="D26" s="34">
        <f t="shared" ca="1" si="9"/>
        <v>1272.7277310924371</v>
      </c>
      <c r="E26" s="34">
        <f t="shared" ca="1" si="10"/>
        <v>1231.616806722689</v>
      </c>
      <c r="F26" s="31">
        <f t="shared" ca="1" si="11"/>
        <v>1</v>
      </c>
      <c r="G26" s="34">
        <f ca="1">$M$52</f>
        <v>1.0000000000000009</v>
      </c>
      <c r="H26" s="25">
        <f t="shared" ca="1" si="0"/>
        <v>1231.6168067226879</v>
      </c>
      <c r="I26" s="26">
        <f t="shared" ca="1" si="1"/>
        <v>1231.5970000000002</v>
      </c>
      <c r="J26" s="26">
        <f t="shared" ca="1" si="2"/>
        <v>1231.5970000000013</v>
      </c>
      <c r="K26" s="26">
        <f t="shared" ca="1" si="3"/>
        <v>1.9806722687690126E-2</v>
      </c>
      <c r="L26" s="27">
        <f t="shared" ca="1" si="4"/>
        <v>1.608188730421394E-5</v>
      </c>
      <c r="M26" s="26">
        <f t="shared" ca="1" si="5"/>
        <v>3.9230626362705875E-4</v>
      </c>
      <c r="N26" s="28">
        <f t="shared" ca="1" si="6"/>
        <v>1.0000160821459354</v>
      </c>
      <c r="O26" s="28">
        <f t="shared" ca="1" si="7"/>
        <v>1.00001609933533</v>
      </c>
      <c r="P26" s="28">
        <f t="shared" ca="1" si="8"/>
        <v>0.9999999828108822</v>
      </c>
    </row>
    <row r="27" spans="1:16" s="39" customFormat="1" x14ac:dyDescent="0.25">
      <c r="A27" s="36" t="str">
        <f>'Step 1 - Trending'!B34</f>
        <v>2017 Oct</v>
      </c>
      <c r="B27" s="22">
        <f ca="1">'Step 1 - Trending'!D34</f>
        <v>1313.8386554621848</v>
      </c>
      <c r="C27" s="37">
        <v>25</v>
      </c>
      <c r="D27" s="38">
        <f t="shared" ca="1" si="9"/>
        <v>1354.9495798319329</v>
      </c>
      <c r="E27" s="38">
        <f t="shared" ca="1" si="10"/>
        <v>1313.838655462185</v>
      </c>
      <c r="F27" s="31">
        <f t="shared" ca="1" si="11"/>
        <v>0.99999999999999978</v>
      </c>
      <c r="G27" s="38">
        <f ca="1">$B$52</f>
        <v>1.0000000000000007</v>
      </c>
      <c r="H27" s="25">
        <f t="shared" ca="1" si="0"/>
        <v>1313.8386554621839</v>
      </c>
      <c r="I27" s="26">
        <f t="shared" ca="1" si="1"/>
        <v>1313.8180000000002</v>
      </c>
      <c r="J27" s="26">
        <f t="shared" ca="1" si="2"/>
        <v>1313.8180000000011</v>
      </c>
      <c r="K27" s="26">
        <f t="shared" ca="1" si="3"/>
        <v>2.0655462183640338E-2</v>
      </c>
      <c r="L27" s="27">
        <f t="shared" ca="1" si="4"/>
        <v>1.5721460240012592E-5</v>
      </c>
      <c r="M27" s="26">
        <f t="shared" ca="1" si="5"/>
        <v>4.266481180197961E-4</v>
      </c>
      <c r="N27" s="28">
        <f t="shared" ca="1" si="6"/>
        <v>1.0000157217074082</v>
      </c>
      <c r="O27" s="28">
        <f t="shared" ca="1" si="7"/>
        <v>1.0000157358596471</v>
      </c>
      <c r="P27" s="28">
        <f t="shared" ca="1" si="8"/>
        <v>0.99999998584798377</v>
      </c>
    </row>
    <row r="28" spans="1:16" s="39" customFormat="1" x14ac:dyDescent="0.25">
      <c r="A28" s="36" t="str">
        <f>'Step 1 - Trending'!B35</f>
        <v>2017 Nov</v>
      </c>
      <c r="B28" s="22">
        <f ca="1">'Step 1 - Trending'!D35</f>
        <v>1396.0605042016805</v>
      </c>
      <c r="C28" s="37">
        <v>26</v>
      </c>
      <c r="D28" s="38">
        <f t="shared" ca="1" si="9"/>
        <v>1437.1714285714286</v>
      </c>
      <c r="E28" s="38">
        <f t="shared" ca="1" si="10"/>
        <v>1396.0605042016807</v>
      </c>
      <c r="F28" s="31">
        <f t="shared" ca="1" si="11"/>
        <v>0.99999999999999989</v>
      </c>
      <c r="G28" s="38">
        <f ca="1">$C$52</f>
        <v>1.0000000000000007</v>
      </c>
      <c r="H28" s="25">
        <f t="shared" ca="1" si="0"/>
        <v>1396.0605042016796</v>
      </c>
      <c r="I28" s="26">
        <f t="shared" ca="1" si="1"/>
        <v>1396.0390000000002</v>
      </c>
      <c r="J28" s="26">
        <f t="shared" ca="1" si="2"/>
        <v>1396.0390000000011</v>
      </c>
      <c r="K28" s="26">
        <f t="shared" ca="1" si="3"/>
        <v>2.1504201679363177E-2</v>
      </c>
      <c r="L28" s="27">
        <f t="shared" ca="1" si="4"/>
        <v>1.5403488326360242E-5</v>
      </c>
      <c r="M28" s="26">
        <f t="shared" ca="1" si="5"/>
        <v>4.6243068986672608E-4</v>
      </c>
      <c r="N28" s="28">
        <f t="shared" ca="1" si="6"/>
        <v>1.0000154037255975</v>
      </c>
      <c r="O28" s="28">
        <f t="shared" ca="1" si="7"/>
        <v>1.0000154155163885</v>
      </c>
      <c r="P28" s="28">
        <f t="shared" ca="1" si="8"/>
        <v>0.99999998820939073</v>
      </c>
    </row>
    <row r="29" spans="1:16" s="39" customFormat="1" x14ac:dyDescent="0.25">
      <c r="A29" s="36" t="str">
        <f>'Step 1 - Trending'!B36</f>
        <v>2017 Dec</v>
      </c>
      <c r="B29" s="22">
        <f ca="1">'Step 1 - Trending'!D36</f>
        <v>1478.2823529411762</v>
      </c>
      <c r="C29" s="37">
        <v>27</v>
      </c>
      <c r="D29" s="38">
        <f t="shared" ca="1" si="9"/>
        <v>1519.3932773109243</v>
      </c>
      <c r="E29" s="38">
        <f t="shared" ca="1" si="10"/>
        <v>1478.2823529411764</v>
      </c>
      <c r="F29" s="31">
        <f t="shared" ca="1" si="11"/>
        <v>0.99999999999999989</v>
      </c>
      <c r="G29" s="38">
        <f ca="1">$D$52</f>
        <v>1.0000000000000009</v>
      </c>
      <c r="H29" s="25">
        <f t="shared" ca="1" si="0"/>
        <v>1478.2823529411748</v>
      </c>
      <c r="I29" s="26">
        <f t="shared" ca="1" si="1"/>
        <v>1478.2600000000002</v>
      </c>
      <c r="J29" s="26">
        <f t="shared" ca="1" si="2"/>
        <v>1478.2600000000016</v>
      </c>
      <c r="K29" s="26">
        <f t="shared" ca="1" si="3"/>
        <v>2.2352941174631269E-2</v>
      </c>
      <c r="L29" s="27">
        <f t="shared" ca="1" si="4"/>
        <v>1.5120887515269377E-5</v>
      </c>
      <c r="M29" s="26">
        <f t="shared" ca="1" si="5"/>
        <v>4.996539791565259E-4</v>
      </c>
      <c r="N29" s="28">
        <f t="shared" ca="1" si="6"/>
        <v>1.0000151211161599</v>
      </c>
      <c r="O29" s="28">
        <f t="shared" ca="1" si="7"/>
        <v>1.0000151310431977</v>
      </c>
      <c r="P29" s="28">
        <f t="shared" ca="1" si="8"/>
        <v>0.99999999007311235</v>
      </c>
    </row>
    <row r="30" spans="1:16" s="39" customFormat="1" x14ac:dyDescent="0.25">
      <c r="A30" s="36" t="str">
        <f>'Step 1 - Trending'!B37</f>
        <v>2018 Jan</v>
      </c>
      <c r="B30" s="22">
        <f ca="1">'Step 1 - Trending'!D37</f>
        <v>1560.5042016806719</v>
      </c>
      <c r="C30" s="37">
        <v>28</v>
      </c>
      <c r="D30" s="38">
        <f t="shared" ca="1" si="9"/>
        <v>1601.61512605042</v>
      </c>
      <c r="E30" s="38">
        <f t="shared" ca="1" si="10"/>
        <v>1560.5042016806722</v>
      </c>
      <c r="F30" s="31">
        <f t="shared" ca="1" si="11"/>
        <v>0.99999999999999989</v>
      </c>
      <c r="G30" s="38">
        <f ca="1">$E$52</f>
        <v>1.0000000000000007</v>
      </c>
      <c r="H30" s="25">
        <f t="shared" ca="1" si="0"/>
        <v>1560.5042016806708</v>
      </c>
      <c r="I30" s="26">
        <f t="shared" ca="1" si="1"/>
        <v>1560.4810000000002</v>
      </c>
      <c r="J30" s="26">
        <f t="shared" ca="1" si="2"/>
        <v>1560.4810000000014</v>
      </c>
      <c r="K30" s="26">
        <f t="shared" ca="1" si="3"/>
        <v>2.3201680670581482E-2</v>
      </c>
      <c r="L30" s="27">
        <f t="shared" ca="1" si="4"/>
        <v>1.4868066773285928E-5</v>
      </c>
      <c r="M30" s="26">
        <f t="shared" ca="1" si="5"/>
        <v>5.3831798593963437E-4</v>
      </c>
      <c r="N30" s="28">
        <f t="shared" ca="1" si="6"/>
        <v>1.000014868287836</v>
      </c>
      <c r="O30" s="28">
        <f t="shared" ca="1" si="7"/>
        <v>1.0000148767242607</v>
      </c>
      <c r="P30" s="28">
        <f t="shared" ca="1" si="8"/>
        <v>0.99999999156370079</v>
      </c>
    </row>
    <row r="31" spans="1:16" s="39" customFormat="1" x14ac:dyDescent="0.25">
      <c r="A31" s="36" t="str">
        <f>'Step 1 - Trending'!B38</f>
        <v>2018 Feb</v>
      </c>
      <c r="B31" s="22">
        <f ca="1">'Step 1 - Trending'!D38</f>
        <v>1642.7260504201681</v>
      </c>
      <c r="C31" s="37">
        <v>29</v>
      </c>
      <c r="D31" s="38">
        <f t="shared" ca="1" si="9"/>
        <v>1683.8369747899158</v>
      </c>
      <c r="E31" s="38">
        <f t="shared" ca="1" si="10"/>
        <v>1642.7260504201679</v>
      </c>
      <c r="F31" s="31">
        <f t="shared" ca="1" si="11"/>
        <v>1.0000000000000002</v>
      </c>
      <c r="G31" s="38">
        <f ca="1">$F$52</f>
        <v>1.0000000000000009</v>
      </c>
      <c r="H31" s="25">
        <f t="shared" ca="1" si="0"/>
        <v>1642.7260504201668</v>
      </c>
      <c r="I31" s="26">
        <f t="shared" ca="1" si="1"/>
        <v>1642.7020000000002</v>
      </c>
      <c r="J31" s="26">
        <f t="shared" ca="1" si="2"/>
        <v>1642.7020000000016</v>
      </c>
      <c r="K31" s="26">
        <f t="shared" ca="1" si="3"/>
        <v>2.4050420166531694E-2</v>
      </c>
      <c r="L31" s="27">
        <f t="shared" ca="1" si="4"/>
        <v>1.4640554437168753E-5</v>
      </c>
      <c r="M31" s="26">
        <f t="shared" ca="1" si="5"/>
        <v>5.7842271018671444E-4</v>
      </c>
      <c r="N31" s="28">
        <f t="shared" ca="1" si="6"/>
        <v>1.0000146407687862</v>
      </c>
      <c r="O31" s="28">
        <f t="shared" ca="1" si="7"/>
        <v>1.0000146479988068</v>
      </c>
      <c r="P31" s="28">
        <f t="shared" ca="1" si="8"/>
        <v>0.99999999277008533</v>
      </c>
    </row>
    <row r="32" spans="1:16" s="39" customFormat="1" x14ac:dyDescent="0.25">
      <c r="A32" s="36" t="str">
        <f>'Step 1 - Trending'!B39</f>
        <v>2018 Mar</v>
      </c>
      <c r="B32" s="22">
        <f ca="1">'Step 1 - Trending'!D39</f>
        <v>1724.9478991596638</v>
      </c>
      <c r="C32" s="37">
        <v>30</v>
      </c>
      <c r="D32" s="38">
        <f ca="1">(B27+B28+B29+B30+B31+B32+B33+B34+B35+B36+B37+B38)/12</f>
        <v>1766.0588235294115</v>
      </c>
      <c r="E32" s="38">
        <f t="shared" ca="1" si="10"/>
        <v>1724.9478991596636</v>
      </c>
      <c r="F32" s="31">
        <f t="shared" ca="1" si="11"/>
        <v>1.0000000000000002</v>
      </c>
      <c r="G32" s="38">
        <f ca="1">$G$52</f>
        <v>1.0000000000000011</v>
      </c>
      <c r="H32" s="25">
        <f t="shared" ca="1" si="0"/>
        <v>1724.947899159662</v>
      </c>
      <c r="I32" s="26">
        <f t="shared" ca="1" si="1"/>
        <v>1724.9230000000002</v>
      </c>
      <c r="J32" s="26">
        <f t="shared" ca="1" si="2"/>
        <v>1724.923000000002</v>
      </c>
      <c r="K32" s="26">
        <f t="shared" ca="1" si="3"/>
        <v>2.4899159661799786E-2</v>
      </c>
      <c r="L32" s="27">
        <f t="shared" ca="1" si="4"/>
        <v>1.4434731433876822E-5</v>
      </c>
      <c r="M32" s="26">
        <f t="shared" ca="1" si="5"/>
        <v>6.1996815186379762E-4</v>
      </c>
      <c r="N32" s="28">
        <f t="shared" ca="1" si="6"/>
        <v>1.0000144349397984</v>
      </c>
      <c r="O32" s="28">
        <f t="shared" ca="1" si="7"/>
        <v>1.0000144411829701</v>
      </c>
      <c r="P32" s="28">
        <f t="shared" ca="1" si="8"/>
        <v>0.99999999375691839</v>
      </c>
    </row>
    <row r="33" spans="1:16" s="39" customFormat="1" x14ac:dyDescent="0.25">
      <c r="A33" s="36" t="str">
        <f>'Step 1 - Trending'!B40</f>
        <v>2018 Apr</v>
      </c>
      <c r="B33" s="22">
        <f ca="1">'Step 1 - Trending'!D40</f>
        <v>1807.1697478991596</v>
      </c>
      <c r="C33" s="37">
        <v>31</v>
      </c>
      <c r="D33" s="38"/>
      <c r="E33" s="40"/>
      <c r="F33" s="38"/>
      <c r="G33" s="38">
        <f ca="1">$H$52</f>
        <v>1.0000000000000011</v>
      </c>
      <c r="H33" s="25">
        <f t="shared" ca="1" si="0"/>
        <v>1807.1697478991575</v>
      </c>
      <c r="I33" s="26">
        <f t="shared" ca="1" si="1"/>
        <v>1807.1440000000002</v>
      </c>
      <c r="J33" s="26">
        <f t="shared" ca="1" si="2"/>
        <v>1807.1440000000023</v>
      </c>
      <c r="K33" s="26">
        <f t="shared" ca="1" si="3"/>
        <v>2.5747899157295251E-2</v>
      </c>
      <c r="L33" s="27">
        <f t="shared" ca="1" si="4"/>
        <v>1.4247637327499126E-5</v>
      </c>
      <c r="M33" s="26">
        <f t="shared" ca="1" si="5"/>
        <v>6.6295431101424549E-4</v>
      </c>
      <c r="N33" s="28">
        <f t="shared" ca="1" si="6"/>
        <v>1.0000142478403256</v>
      </c>
      <c r="O33" s="28">
        <f t="shared" ca="1" si="7"/>
        <v>1.0000142532684302</v>
      </c>
      <c r="P33" s="28">
        <f t="shared" ca="1" si="8"/>
        <v>0.99999999457197275</v>
      </c>
    </row>
    <row r="34" spans="1:16" s="39" customFormat="1" x14ac:dyDescent="0.25">
      <c r="A34" s="36" t="str">
        <f>'Step 1 - Trending'!B41</f>
        <v>2018 May</v>
      </c>
      <c r="B34" s="22">
        <f ca="1">'Step 1 - Trending'!D41</f>
        <v>1889.3915966386553</v>
      </c>
      <c r="C34" s="37">
        <v>32</v>
      </c>
      <c r="D34" s="38"/>
      <c r="E34" s="40"/>
      <c r="F34" s="38"/>
      <c r="G34" s="38">
        <f ca="1">$I$52</f>
        <v>1.0000000000000007</v>
      </c>
      <c r="H34" s="25">
        <f t="shared" ca="1" si="0"/>
        <v>1889.3915966386539</v>
      </c>
      <c r="I34" s="26">
        <f t="shared" ca="1" si="1"/>
        <v>1889.3650000000002</v>
      </c>
      <c r="J34" s="26">
        <f t="shared" ca="1" si="2"/>
        <v>1889.3650000000016</v>
      </c>
      <c r="K34" s="26">
        <f t="shared" ca="1" si="3"/>
        <v>2.6596638653700211E-2</v>
      </c>
      <c r="L34" s="27">
        <f t="shared" ca="1" si="4"/>
        <v>1.4076827006649801E-5</v>
      </c>
      <c r="M34" s="26">
        <f t="shared" ca="1" si="5"/>
        <v>7.0738118767550012E-4</v>
      </c>
      <c r="N34" s="28">
        <f t="shared" ca="1" si="6"/>
        <v>1.0000140770251664</v>
      </c>
      <c r="O34" s="28">
        <f t="shared" ca="1" si="7"/>
        <v>1.0000140817741698</v>
      </c>
      <c r="P34" s="28">
        <f t="shared" ca="1" si="8"/>
        <v>0.99999999525106342</v>
      </c>
    </row>
    <row r="35" spans="1:16" s="39" customFormat="1" x14ac:dyDescent="0.25">
      <c r="A35" s="36" t="str">
        <f>'Step 1 - Trending'!B42</f>
        <v>2018 Jun</v>
      </c>
      <c r="B35" s="22">
        <f ca="1">'Step 1 - Trending'!D42</f>
        <v>1971.613445378151</v>
      </c>
      <c r="C35" s="37">
        <v>33</v>
      </c>
      <c r="D35" s="38"/>
      <c r="E35" s="40"/>
      <c r="F35" s="38"/>
      <c r="G35" s="38">
        <f ca="1">$J$52</f>
        <v>0.99999999999999067</v>
      </c>
      <c r="H35" s="25">
        <f t="shared" ca="1" si="0"/>
        <v>1971.6134453781694</v>
      </c>
      <c r="I35" s="26">
        <f t="shared" ca="1" si="1"/>
        <v>1971.5860000000002</v>
      </c>
      <c r="J35" s="26">
        <f t="shared" ca="1" si="2"/>
        <v>1971.5859999999818</v>
      </c>
      <c r="K35" s="26">
        <f t="shared" ca="1" si="3"/>
        <v>2.744537816920456E-2</v>
      </c>
      <c r="L35" s="27">
        <f t="shared" ca="1" si="4"/>
        <v>1.392026324102319E-5</v>
      </c>
      <c r="M35" s="26">
        <f t="shared" ca="1" si="5"/>
        <v>7.5324878285065017E-4</v>
      </c>
      <c r="N35" s="28">
        <f t="shared" ca="1" si="6"/>
        <v>1.0000139204570175</v>
      </c>
      <c r="O35" s="28">
        <f t="shared" ca="1" si="7"/>
        <v>1.0000139246356543</v>
      </c>
      <c r="P35" s="28">
        <f t="shared" ca="1" si="8"/>
        <v>0.99999999582142141</v>
      </c>
    </row>
    <row r="36" spans="1:16" s="39" customFormat="1" x14ac:dyDescent="0.25">
      <c r="A36" s="36" t="str">
        <f>'Step 1 - Trending'!B43</f>
        <v>2018 Jul</v>
      </c>
      <c r="B36" s="22">
        <f ca="1">'Step 1 - Trending'!D43</f>
        <v>2053.8352941176468</v>
      </c>
      <c r="C36" s="37">
        <v>34</v>
      </c>
      <c r="D36" s="38"/>
      <c r="E36" s="40"/>
      <c r="F36" s="38"/>
      <c r="G36" s="38">
        <f ca="1">$K$52</f>
        <v>1.0000000000000007</v>
      </c>
      <c r="H36" s="25">
        <f t="shared" ca="1" si="0"/>
        <v>2053.8352941176454</v>
      </c>
      <c r="I36" s="26">
        <f t="shared" ca="1" si="1"/>
        <v>2053.8070000000002</v>
      </c>
      <c r="J36" s="26">
        <f t="shared" ca="1" si="2"/>
        <v>2053.8070000000016</v>
      </c>
      <c r="K36" s="26">
        <f t="shared" ca="1" si="3"/>
        <v>2.8294117645145889E-2</v>
      </c>
      <c r="L36" s="27">
        <f t="shared" ca="1" si="4"/>
        <v>1.3776234991278303E-5</v>
      </c>
      <c r="M36" s="26">
        <f t="shared" ca="1" si="5"/>
        <v>8.0055709331735593E-4</v>
      </c>
      <c r="N36" s="28">
        <f t="shared" ca="1" si="6"/>
        <v>1.0000137764247785</v>
      </c>
      <c r="O36" s="28">
        <f t="shared" ca="1" si="7"/>
        <v>1.0000137801208864</v>
      </c>
      <c r="P36" s="28">
        <f t="shared" ca="1" si="8"/>
        <v>0.9999999963039431</v>
      </c>
    </row>
    <row r="37" spans="1:16" s="39" customFormat="1" x14ac:dyDescent="0.25">
      <c r="A37" s="36" t="str">
        <f>'Step 1 - Trending'!B44</f>
        <v>2018 Aug</v>
      </c>
      <c r="B37" s="22">
        <f ca="1">'Step 1 - Trending'!D44</f>
        <v>2136.0571428571425</v>
      </c>
      <c r="C37" s="37">
        <v>35</v>
      </c>
      <c r="D37" s="38"/>
      <c r="E37" s="40"/>
      <c r="F37" s="40"/>
      <c r="G37" s="38">
        <f ca="1">$L$52</f>
        <v>1.0000000000000009</v>
      </c>
      <c r="H37" s="25">
        <f t="shared" ca="1" si="0"/>
        <v>2136.0571428571407</v>
      </c>
      <c r="I37" s="26">
        <f t="shared" ca="1" si="1"/>
        <v>2136.0280000000002</v>
      </c>
      <c r="J37" s="26">
        <f t="shared" ca="1" si="2"/>
        <v>2136.0280000000021</v>
      </c>
      <c r="K37" s="26">
        <f t="shared" ca="1" si="3"/>
        <v>2.914285714041398E-2</v>
      </c>
      <c r="L37" s="27">
        <f t="shared" ca="1" si="4"/>
        <v>1.3643294720773781E-5</v>
      </c>
      <c r="M37" s="26">
        <f t="shared" ca="1" si="5"/>
        <v>8.4930612230657814E-4</v>
      </c>
      <c r="N37" s="28">
        <f t="shared" ca="1" si="6"/>
        <v>1.0000136434808629</v>
      </c>
      <c r="O37" s="28">
        <f t="shared" ca="1" si="7"/>
        <v>1.0000136467659708</v>
      </c>
      <c r="P37" s="28">
        <f t="shared" ca="1" si="8"/>
        <v>0.99999999671493689</v>
      </c>
    </row>
    <row r="38" spans="1:16" s="39" customFormat="1" x14ac:dyDescent="0.25">
      <c r="A38" s="36" t="str">
        <f>'Step 1 - Trending'!B45</f>
        <v>2018 Sep</v>
      </c>
      <c r="B38" s="22">
        <f ca="1">'Step 1 - Trending'!D45</f>
        <v>2218.2789915966387</v>
      </c>
      <c r="C38" s="37">
        <v>36</v>
      </c>
      <c r="D38" s="38"/>
      <c r="E38" s="40"/>
      <c r="F38" s="40"/>
      <c r="G38" s="38">
        <f ca="1">$M$52</f>
        <v>1.0000000000000009</v>
      </c>
      <c r="H38" s="25">
        <f t="shared" ca="1" si="0"/>
        <v>2218.2789915966368</v>
      </c>
      <c r="I38" s="26">
        <f t="shared" ca="1" si="1"/>
        <v>2218.2490000000003</v>
      </c>
      <c r="J38" s="26">
        <f t="shared" ca="1" si="2"/>
        <v>2218.2490000000021</v>
      </c>
      <c r="K38" s="26">
        <f t="shared" ca="1" si="3"/>
        <v>2.9991596636591566E-2</v>
      </c>
      <c r="L38" s="27">
        <f t="shared" ca="1" si="4"/>
        <v>1.3520209473292932E-5</v>
      </c>
      <c r="M38" s="26">
        <f t="shared" ca="1" si="5"/>
        <v>8.9949586881201055E-4</v>
      </c>
      <c r="N38" s="28">
        <f t="shared" ca="1" si="6"/>
        <v>1.0000135203922718</v>
      </c>
      <c r="O38" s="41"/>
      <c r="P38" s="41"/>
    </row>
    <row r="39" spans="1:16" x14ac:dyDescent="0.25">
      <c r="G39" s="43" t="s">
        <v>75</v>
      </c>
      <c r="H39" s="44">
        <f ca="1">ROUNDDOWN(INTERCEPT(H3:H38,C3:C38),3)</f>
        <v>-741.70699999999999</v>
      </c>
      <c r="K39" s="44">
        <f ca="1">AVERAGE(K3:K38)</f>
        <v>1.5138655462182774E-2</v>
      </c>
      <c r="L39" s="45">
        <f ca="1">AVERAGE(L3:L38)</f>
        <v>1.3616972788197079E-4</v>
      </c>
      <c r="M39" s="46">
        <f ca="1">AVERAGE(M3:M38)</f>
        <v>3.0691760233503274E-4</v>
      </c>
      <c r="N39" s="47"/>
      <c r="O39" s="47"/>
      <c r="P39" s="47"/>
    </row>
    <row r="40" spans="1:16" x14ac:dyDescent="0.25">
      <c r="G40" s="43" t="s">
        <v>76</v>
      </c>
      <c r="H40" s="44">
        <f ca="1">ROUNDDOWN(SLOPE(H3:H38,C3:C38),3)</f>
        <v>82.221000000000004</v>
      </c>
      <c r="K40" s="43" t="s">
        <v>77</v>
      </c>
      <c r="L40" s="44" t="s">
        <v>78</v>
      </c>
      <c r="M40" s="43" t="s">
        <v>79</v>
      </c>
      <c r="N40" s="48"/>
    </row>
    <row r="41" spans="1:16" x14ac:dyDescent="0.25">
      <c r="G41" s="49" t="s">
        <v>80</v>
      </c>
      <c r="H41" s="49" t="str">
        <f ca="1">CONCATENATE(H40,"*X",H39)</f>
        <v>82.221*X-741.707</v>
      </c>
    </row>
    <row r="42" spans="1:16" x14ac:dyDescent="0.25">
      <c r="G42" s="50"/>
      <c r="H42" s="50"/>
    </row>
    <row r="43" spans="1:16" x14ac:dyDescent="0.25">
      <c r="G43" s="50"/>
      <c r="H43" s="50"/>
    </row>
    <row r="45" spans="1:16" x14ac:dyDescent="0.25"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</row>
    <row r="46" spans="1:16" ht="26.1" customHeight="1" x14ac:dyDescent="0.25">
      <c r="A46" s="52" t="s">
        <v>81</v>
      </c>
      <c r="B46" s="87" t="s">
        <v>82</v>
      </c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9"/>
    </row>
    <row r="47" spans="1:16" x14ac:dyDescent="0.25">
      <c r="A47" s="53" t="s">
        <v>83</v>
      </c>
      <c r="B47" s="54" t="s">
        <v>84</v>
      </c>
      <c r="C47" s="54" t="s">
        <v>85</v>
      </c>
      <c r="D47" s="54" t="s">
        <v>86</v>
      </c>
      <c r="E47" s="54" t="s">
        <v>87</v>
      </c>
      <c r="F47" s="54" t="s">
        <v>88</v>
      </c>
      <c r="G47" s="54" t="s">
        <v>89</v>
      </c>
      <c r="H47" s="54" t="s">
        <v>90</v>
      </c>
      <c r="I47" s="54" t="s">
        <v>91</v>
      </c>
      <c r="J47" s="54" t="s">
        <v>92</v>
      </c>
      <c r="K47" s="54" t="s">
        <v>93</v>
      </c>
      <c r="L47" s="54" t="s">
        <v>94</v>
      </c>
      <c r="M47" s="54" t="s">
        <v>95</v>
      </c>
    </row>
    <row r="48" spans="1:16" x14ac:dyDescent="0.25">
      <c r="A48" s="24" t="s">
        <v>96</v>
      </c>
      <c r="B48" s="31"/>
      <c r="C48" s="31"/>
      <c r="D48" s="31"/>
      <c r="E48" s="31"/>
      <c r="F48" s="31"/>
      <c r="G48" s="31"/>
      <c r="H48" s="31">
        <f ca="1">F9</f>
        <v>1.0000000000000002</v>
      </c>
      <c r="I48" s="31">
        <f ca="1">F10</f>
        <v>0.99999999999999967</v>
      </c>
      <c r="J48" s="31">
        <f ca="1">F11</f>
        <v>0.99999999999997924</v>
      </c>
      <c r="K48" s="31">
        <f ca="1">F12</f>
        <v>0.99999999999999944</v>
      </c>
      <c r="L48" s="31">
        <f ca="1">F13</f>
        <v>1</v>
      </c>
      <c r="M48" s="31">
        <f ca="1">F14</f>
        <v>1.0000000000000002</v>
      </c>
    </row>
    <row r="49" spans="1:15" x14ac:dyDescent="0.25">
      <c r="A49" s="55" t="s">
        <v>97</v>
      </c>
      <c r="B49" s="56">
        <f ca="1">F15</f>
        <v>0.99999999999999978</v>
      </c>
      <c r="C49" s="56">
        <f ca="1">F16</f>
        <v>0.99999999999999967</v>
      </c>
      <c r="D49" s="56">
        <f ca="1">F17</f>
        <v>1</v>
      </c>
      <c r="E49" s="56">
        <f ca="1">F18</f>
        <v>0.99999999999999978</v>
      </c>
      <c r="F49" s="56">
        <f ca="1">F19</f>
        <v>0.99999999999999978</v>
      </c>
      <c r="G49" s="56">
        <f ca="1">F20</f>
        <v>1.0000000000000002</v>
      </c>
      <c r="H49" s="56">
        <f ca="1">F21</f>
        <v>1.0000000000000002</v>
      </c>
      <c r="I49" s="56">
        <f ca="1">F22</f>
        <v>0.99999999999999989</v>
      </c>
      <c r="J49" s="56">
        <f ca="1">F23</f>
        <v>1.0000000000000002</v>
      </c>
      <c r="K49" s="56">
        <f ca="1">F24</f>
        <v>1.0000000000000002</v>
      </c>
      <c r="L49" s="56">
        <f ca="1">F25</f>
        <v>1</v>
      </c>
      <c r="M49" s="56">
        <f ca="1">F26</f>
        <v>1</v>
      </c>
    </row>
    <row r="50" spans="1:15" x14ac:dyDescent="0.25">
      <c r="A50" s="40" t="s">
        <v>98</v>
      </c>
      <c r="B50" s="57">
        <f ca="1">F27</f>
        <v>0.99999999999999978</v>
      </c>
      <c r="C50" s="57">
        <f ca="1">F28</f>
        <v>0.99999999999999989</v>
      </c>
      <c r="D50" s="57">
        <f ca="1">F29</f>
        <v>0.99999999999999989</v>
      </c>
      <c r="E50" s="57">
        <f ca="1">F30</f>
        <v>0.99999999999999989</v>
      </c>
      <c r="F50" s="57">
        <f ca="1">F31</f>
        <v>1.0000000000000002</v>
      </c>
      <c r="G50" s="57">
        <f ca="1">F32</f>
        <v>1.0000000000000002</v>
      </c>
      <c r="H50" s="57"/>
      <c r="I50" s="57"/>
      <c r="J50" s="57"/>
      <c r="K50" s="57"/>
      <c r="L50" s="57"/>
      <c r="M50" s="57"/>
    </row>
    <row r="51" spans="1:15" x14ac:dyDescent="0.25">
      <c r="A51" s="54" t="s">
        <v>99</v>
      </c>
      <c r="B51" s="58">
        <f ca="1">AVERAGE(B48:B50)</f>
        <v>0.99999999999999978</v>
      </c>
      <c r="C51" s="58">
        <f t="shared" ref="C51:M51" ca="1" si="12">AVERAGE(C48:C50)</f>
        <v>0.99999999999999978</v>
      </c>
      <c r="D51" s="58">
        <f t="shared" ca="1" si="12"/>
        <v>1</v>
      </c>
      <c r="E51" s="58">
        <f t="shared" ca="1" si="12"/>
        <v>0.99999999999999978</v>
      </c>
      <c r="F51" s="58">
        <f t="shared" ca="1" si="12"/>
        <v>1</v>
      </c>
      <c r="G51" s="58">
        <f t="shared" ca="1" si="12"/>
        <v>1.0000000000000002</v>
      </c>
      <c r="H51" s="58">
        <f t="shared" ca="1" si="12"/>
        <v>1.0000000000000002</v>
      </c>
      <c r="I51" s="58">
        <f t="shared" ca="1" si="12"/>
        <v>0.99999999999999978</v>
      </c>
      <c r="J51" s="58">
        <f t="shared" ca="1" si="12"/>
        <v>0.99999999999998979</v>
      </c>
      <c r="K51" s="58">
        <f t="shared" ca="1" si="12"/>
        <v>0.99999999999999978</v>
      </c>
      <c r="L51" s="58">
        <f ca="1">AVERAGE(L48:L50)</f>
        <v>1</v>
      </c>
      <c r="M51" s="58">
        <f t="shared" ca="1" si="12"/>
        <v>1</v>
      </c>
      <c r="N51" s="51">
        <f ca="1">SUM(B51:M51)</f>
        <v>11.999999999999989</v>
      </c>
      <c r="O51" s="42" t="s">
        <v>100</v>
      </c>
    </row>
    <row r="52" spans="1:15" s="15" customFormat="1" ht="30" x14ac:dyDescent="0.25">
      <c r="A52" s="59" t="s">
        <v>101</v>
      </c>
      <c r="B52" s="60">
        <f ca="1">IFERROR(B51*12/SUM($B$51:$M$51),0)</f>
        <v>1.0000000000000007</v>
      </c>
      <c r="C52" s="60">
        <f t="shared" ref="C52:M52" ca="1" si="13">IFERROR(C51*12/SUM($B$51:$M$51),0)</f>
        <v>1.0000000000000007</v>
      </c>
      <c r="D52" s="60">
        <f t="shared" ca="1" si="13"/>
        <v>1.0000000000000009</v>
      </c>
      <c r="E52" s="60">
        <f t="shared" ca="1" si="13"/>
        <v>1.0000000000000007</v>
      </c>
      <c r="F52" s="60">
        <f t="shared" ca="1" si="13"/>
        <v>1.0000000000000009</v>
      </c>
      <c r="G52" s="60">
        <f t="shared" ca="1" si="13"/>
        <v>1.0000000000000011</v>
      </c>
      <c r="H52" s="60">
        <f t="shared" ca="1" si="13"/>
        <v>1.0000000000000011</v>
      </c>
      <c r="I52" s="60">
        <f t="shared" ca="1" si="13"/>
        <v>1.0000000000000007</v>
      </c>
      <c r="J52" s="60">
        <f t="shared" ca="1" si="13"/>
        <v>0.99999999999999067</v>
      </c>
      <c r="K52" s="60">
        <f t="shared" ca="1" si="13"/>
        <v>1.0000000000000007</v>
      </c>
      <c r="L52" s="60">
        <f t="shared" ca="1" si="13"/>
        <v>1.0000000000000009</v>
      </c>
      <c r="M52" s="60">
        <f t="shared" ca="1" si="13"/>
        <v>1.0000000000000009</v>
      </c>
      <c r="N52" s="61">
        <f ca="1">IFERROR(12/SUM(B52:M52),0)</f>
        <v>1.0000000000000002</v>
      </c>
    </row>
    <row r="53" spans="1:15" x14ac:dyDescent="0.25">
      <c r="B53" s="51"/>
      <c r="C53" s="51"/>
      <c r="D53" s="51"/>
      <c r="E53" s="51"/>
      <c r="F53" s="51"/>
      <c r="G53" s="2"/>
      <c r="H53" s="2"/>
      <c r="I53" s="2"/>
      <c r="J53" s="2"/>
      <c r="K53" s="2"/>
      <c r="L53" s="2"/>
      <c r="M53" s="51"/>
    </row>
    <row r="54" spans="1:15" x14ac:dyDescent="0.25">
      <c r="G54" s="2"/>
      <c r="H54" s="3" t="s">
        <v>1</v>
      </c>
      <c r="I54" s="4" t="s">
        <v>2</v>
      </c>
      <c r="J54" s="2"/>
      <c r="K54" s="3" t="s">
        <v>3</v>
      </c>
      <c r="L54" s="4" t="str">
        <f>'Step 1 - Trending'!F3</f>
        <v>V11H842052 - EB-S41</v>
      </c>
    </row>
    <row r="55" spans="1:15" x14ac:dyDescent="0.25">
      <c r="G55" s="2"/>
      <c r="H55" s="3" t="s">
        <v>5</v>
      </c>
      <c r="I55" s="4" t="s">
        <v>6</v>
      </c>
      <c r="J55" s="2"/>
      <c r="K55" s="3" t="s">
        <v>7</v>
      </c>
      <c r="L55" s="4" t="str">
        <f>'Step 1 - Trending'!F4</f>
        <v>EB-S41</v>
      </c>
    </row>
    <row r="56" spans="1:15" x14ac:dyDescent="0.25">
      <c r="G56" s="2"/>
      <c r="H56" s="3" t="s">
        <v>9</v>
      </c>
      <c r="I56" s="4" t="s">
        <v>10</v>
      </c>
      <c r="J56" s="2"/>
      <c r="K56" s="2"/>
      <c r="L56" s="2"/>
    </row>
    <row r="57" spans="1:15" x14ac:dyDescent="0.25">
      <c r="G57" s="2"/>
      <c r="H57" s="3" t="s">
        <v>11</v>
      </c>
      <c r="I57" s="4">
        <v>2016</v>
      </c>
      <c r="J57" s="2"/>
      <c r="K57" s="2"/>
      <c r="L57" s="2"/>
    </row>
    <row r="58" spans="1:15" x14ac:dyDescent="0.25">
      <c r="G58" s="2"/>
      <c r="H58" s="2"/>
      <c r="I58" s="2"/>
      <c r="J58" s="2"/>
      <c r="K58" s="2"/>
      <c r="L58" s="2"/>
    </row>
    <row r="59" spans="1:15" ht="18.399999999999999" customHeight="1" x14ac:dyDescent="0.35">
      <c r="A59" s="90" t="s">
        <v>102</v>
      </c>
      <c r="B59" s="91"/>
      <c r="C59" s="91"/>
      <c r="D59" s="91"/>
      <c r="E59" s="92"/>
      <c r="G59" s="74" t="s">
        <v>249</v>
      </c>
      <c r="H59" s="72"/>
      <c r="I59" s="73"/>
      <c r="J59" s="2"/>
      <c r="K59" s="2"/>
      <c r="L59" s="2"/>
    </row>
    <row r="60" spans="1:15" s="15" customFormat="1" ht="45" x14ac:dyDescent="0.25">
      <c r="A60" s="63" t="s">
        <v>13</v>
      </c>
      <c r="B60" s="63" t="s">
        <v>103</v>
      </c>
      <c r="C60" s="63" t="s">
        <v>104</v>
      </c>
      <c r="D60" s="63" t="s">
        <v>105</v>
      </c>
      <c r="E60" s="63" t="s">
        <v>106</v>
      </c>
      <c r="G60" s="5" t="s">
        <v>12</v>
      </c>
      <c r="H60" s="3" t="s">
        <v>13</v>
      </c>
      <c r="I60" s="6" t="s">
        <v>14</v>
      </c>
      <c r="J60" s="2"/>
    </row>
    <row r="61" spans="1:15" x14ac:dyDescent="0.25">
      <c r="A61" s="64" t="s">
        <v>47</v>
      </c>
      <c r="B61" s="65">
        <v>37</v>
      </c>
      <c r="C61" s="66">
        <f ca="1">$H$39+($H$40)*B61</f>
        <v>2300.4700000000003</v>
      </c>
      <c r="D61" s="67">
        <f ca="1">$B$52</f>
        <v>1.0000000000000007</v>
      </c>
      <c r="E61" s="68">
        <f ca="1">C61*D61</f>
        <v>2300.4700000000016</v>
      </c>
      <c r="F61" s="51"/>
      <c r="G61" s="7">
        <v>1</v>
      </c>
      <c r="H61" s="78" t="str">
        <f>$A$61</f>
        <v>2018 Oct</v>
      </c>
      <c r="I61" s="7">
        <f ca="1">_xll.DBRW($I$54,$I$56,$L$54,$H61,$I$55)</f>
        <v>1323</v>
      </c>
      <c r="J61" s="2"/>
    </row>
    <row r="62" spans="1:15" x14ac:dyDescent="0.25">
      <c r="A62" s="64" t="s">
        <v>48</v>
      </c>
      <c r="B62" s="65">
        <v>38</v>
      </c>
      <c r="C62" s="66">
        <f ca="1">$H$39+($H$40)*B62</f>
        <v>2382.6910000000003</v>
      </c>
      <c r="D62" s="67">
        <f ca="1">$C$52</f>
        <v>1.0000000000000007</v>
      </c>
      <c r="E62" s="68">
        <f t="shared" ref="E62:E72" ca="1" si="14">C62*D62</f>
        <v>2382.6910000000016</v>
      </c>
      <c r="F62" s="51"/>
      <c r="G62" s="8">
        <v>2</v>
      </c>
      <c r="H62" s="78" t="str">
        <f>$A$62</f>
        <v>2018 Nov</v>
      </c>
      <c r="I62" s="8">
        <f ca="1">_xll.DBRW($I$54,$I$56,$L$54,$H62,$I$55)</f>
        <v>1585</v>
      </c>
      <c r="J62" s="2"/>
    </row>
    <row r="63" spans="1:15" x14ac:dyDescent="0.25">
      <c r="A63" s="64" t="s">
        <v>49</v>
      </c>
      <c r="B63" s="65">
        <v>39</v>
      </c>
      <c r="C63" s="66">
        <f t="shared" ref="C63:C72" ca="1" si="15">$H$39+($H$40)*B63</f>
        <v>2464.9120000000003</v>
      </c>
      <c r="D63" s="67">
        <f ca="1">$D$52</f>
        <v>1.0000000000000009</v>
      </c>
      <c r="E63" s="68">
        <f t="shared" ca="1" si="14"/>
        <v>2464.9120000000025</v>
      </c>
      <c r="F63" s="51"/>
      <c r="G63" s="8">
        <v>3</v>
      </c>
      <c r="H63" s="78" t="str">
        <f>$A$63</f>
        <v>2018 Dec</v>
      </c>
      <c r="I63" s="8">
        <f ca="1">_xll.DBRW($I$54,$I$56,$L$54,$H63,$I$55)</f>
        <v>2324</v>
      </c>
      <c r="J63" s="2"/>
    </row>
    <row r="64" spans="1:15" x14ac:dyDescent="0.25">
      <c r="A64" s="64" t="s">
        <v>50</v>
      </c>
      <c r="B64" s="65">
        <v>40</v>
      </c>
      <c r="C64" s="66">
        <f t="shared" ca="1" si="15"/>
        <v>2547.1330000000003</v>
      </c>
      <c r="D64" s="67">
        <f ca="1">$E$52</f>
        <v>1.0000000000000007</v>
      </c>
      <c r="E64" s="68">
        <f t="shared" ca="1" si="14"/>
        <v>2547.1330000000021</v>
      </c>
      <c r="F64" s="51"/>
      <c r="G64" s="8">
        <v>4</v>
      </c>
      <c r="H64" s="78" t="str">
        <f>$A$64</f>
        <v>2019 Jan</v>
      </c>
      <c r="I64" s="8">
        <f ca="1">_xll.DBRW($I$54,$I$56,$L$54,$H64,$I$55)</f>
        <v>2215</v>
      </c>
      <c r="J64" s="2"/>
    </row>
    <row r="65" spans="1:10" x14ac:dyDescent="0.25">
      <c r="A65" s="64" t="s">
        <v>51</v>
      </c>
      <c r="B65" s="65">
        <v>41</v>
      </c>
      <c r="C65" s="66">
        <f t="shared" ca="1" si="15"/>
        <v>2629.3540000000003</v>
      </c>
      <c r="D65" s="67">
        <f ca="1">$F$52</f>
        <v>1.0000000000000009</v>
      </c>
      <c r="E65" s="68">
        <f t="shared" ca="1" si="14"/>
        <v>2629.3540000000025</v>
      </c>
      <c r="F65" s="51"/>
      <c r="G65" s="8">
        <v>5</v>
      </c>
      <c r="H65" s="78" t="str">
        <f>$A$65</f>
        <v>2019 Feb</v>
      </c>
      <c r="I65" s="8">
        <f ca="1">_xll.DBRW($I$54,$I$56,$L$54,$H65,$I$55)</f>
        <v>1566</v>
      </c>
      <c r="J65" s="2"/>
    </row>
    <row r="66" spans="1:10" x14ac:dyDescent="0.25">
      <c r="A66" s="64" t="s">
        <v>52</v>
      </c>
      <c r="B66" s="65">
        <v>42</v>
      </c>
      <c r="C66" s="66">
        <f t="shared" ca="1" si="15"/>
        <v>2711.5750000000003</v>
      </c>
      <c r="D66" s="67">
        <f ca="1">$G$52</f>
        <v>1.0000000000000011</v>
      </c>
      <c r="E66" s="68">
        <f t="shared" ca="1" si="14"/>
        <v>2711.5750000000035</v>
      </c>
      <c r="F66" s="51"/>
      <c r="G66" s="8">
        <v>6</v>
      </c>
      <c r="H66" s="78" t="str">
        <f>$A$66</f>
        <v>2019 Mar</v>
      </c>
      <c r="I66" s="8">
        <f ca="1">_xll.DBRW($I$54,$I$56,$L$54,$H66,$I$55)</f>
        <v>1512</v>
      </c>
      <c r="J66" s="2"/>
    </row>
    <row r="67" spans="1:10" x14ac:dyDescent="0.25">
      <c r="A67" s="64" t="s">
        <v>53</v>
      </c>
      <c r="B67" s="65">
        <v>43</v>
      </c>
      <c r="C67" s="66">
        <f t="shared" ca="1" si="15"/>
        <v>2793.7960000000003</v>
      </c>
      <c r="D67" s="67">
        <f ca="1">$H$52</f>
        <v>1.0000000000000011</v>
      </c>
      <c r="E67" s="68">
        <f t="shared" ca="1" si="14"/>
        <v>2793.7960000000035</v>
      </c>
      <c r="F67" s="51"/>
      <c r="G67" s="8">
        <v>7</v>
      </c>
      <c r="H67" s="78" t="str">
        <f>$A$67</f>
        <v>2019 Apr</v>
      </c>
      <c r="I67" s="8">
        <f ca="1">_xll.DBRW($I$54,$I$56,$L$54,$H67,$I$55)</f>
        <v>1600</v>
      </c>
      <c r="J67" s="2"/>
    </row>
    <row r="68" spans="1:10" x14ac:dyDescent="0.25">
      <c r="A68" s="64" t="s">
        <v>54</v>
      </c>
      <c r="B68" s="65">
        <v>44</v>
      </c>
      <c r="C68" s="66">
        <f t="shared" ca="1" si="15"/>
        <v>2876.0170000000003</v>
      </c>
      <c r="D68" s="67">
        <f ca="1">$I$52</f>
        <v>1.0000000000000007</v>
      </c>
      <c r="E68" s="68">
        <f t="shared" ca="1" si="14"/>
        <v>2876.0170000000021</v>
      </c>
      <c r="F68" s="51"/>
      <c r="G68" s="8">
        <v>8</v>
      </c>
      <c r="H68" s="78" t="str">
        <f>$A$68</f>
        <v>2019 May</v>
      </c>
      <c r="I68" s="8">
        <f ca="1">_xll.DBRW($I$54,$I$56,$L$54,$H68,$I$55)</f>
        <v>0</v>
      </c>
      <c r="J68" s="2"/>
    </row>
    <row r="69" spans="1:10" x14ac:dyDescent="0.25">
      <c r="A69" s="64" t="s">
        <v>55</v>
      </c>
      <c r="B69" s="65">
        <v>45</v>
      </c>
      <c r="C69" s="66">
        <f t="shared" ca="1" si="15"/>
        <v>2958.2380000000003</v>
      </c>
      <c r="D69" s="67">
        <f ca="1">$J$52</f>
        <v>0.99999999999999067</v>
      </c>
      <c r="E69" s="68">
        <f t="shared" ca="1" si="14"/>
        <v>2958.2379999999725</v>
      </c>
      <c r="F69" s="51"/>
      <c r="G69" s="8">
        <v>9</v>
      </c>
      <c r="H69" s="78" t="str">
        <f>$A$69</f>
        <v>2019 Jun</v>
      </c>
      <c r="I69" s="8">
        <f ca="1">_xll.DBRW($I$54,$I$56,$L$54,$H69,$I$55)</f>
        <v>0</v>
      </c>
      <c r="J69" s="2"/>
    </row>
    <row r="70" spans="1:10" x14ac:dyDescent="0.25">
      <c r="A70" s="64" t="s">
        <v>107</v>
      </c>
      <c r="B70" s="65">
        <v>46</v>
      </c>
      <c r="C70" s="66">
        <f t="shared" ca="1" si="15"/>
        <v>3040.4590000000003</v>
      </c>
      <c r="D70" s="67">
        <f ca="1">$K$52</f>
        <v>1.0000000000000007</v>
      </c>
      <c r="E70" s="68">
        <f t="shared" ca="1" si="14"/>
        <v>3040.4590000000021</v>
      </c>
      <c r="F70" s="51"/>
      <c r="G70" s="8">
        <v>10</v>
      </c>
      <c r="H70" s="78" t="str">
        <f>$A$70</f>
        <v>2019 Jul</v>
      </c>
      <c r="I70" s="8">
        <f ca="1">_xll.DBRW($I$54,$I$56,$L$54,$H70,$I$55)</f>
        <v>0</v>
      </c>
      <c r="J70" s="2"/>
    </row>
    <row r="71" spans="1:10" x14ac:dyDescent="0.25">
      <c r="A71" s="64" t="s">
        <v>108</v>
      </c>
      <c r="B71" s="65">
        <v>47</v>
      </c>
      <c r="C71" s="66">
        <f t="shared" ca="1" si="15"/>
        <v>3122.6800000000003</v>
      </c>
      <c r="D71" s="67">
        <f ca="1">$L$52</f>
        <v>1.0000000000000009</v>
      </c>
      <c r="E71" s="68">
        <f t="shared" ca="1" si="14"/>
        <v>3122.680000000003</v>
      </c>
      <c r="F71" s="51"/>
      <c r="G71" s="8">
        <v>11</v>
      </c>
      <c r="H71" s="78" t="str">
        <f>$A$71</f>
        <v>2019 Aug</v>
      </c>
      <c r="I71" s="8">
        <f ca="1">_xll.DBRW($I$54,$I$56,$L$54,$H71,$I$55)</f>
        <v>0</v>
      </c>
      <c r="J71" s="2"/>
    </row>
    <row r="72" spans="1:10" x14ac:dyDescent="0.25">
      <c r="A72" s="64" t="s">
        <v>109</v>
      </c>
      <c r="B72" s="65">
        <v>48</v>
      </c>
      <c r="C72" s="66">
        <f t="shared" ca="1" si="15"/>
        <v>3204.9010000000003</v>
      </c>
      <c r="D72" s="67">
        <f ca="1">$M$52</f>
        <v>1.0000000000000009</v>
      </c>
      <c r="E72" s="68">
        <f t="shared" ca="1" si="14"/>
        <v>3204.901000000003</v>
      </c>
      <c r="F72" s="51"/>
      <c r="G72" s="11">
        <v>12</v>
      </c>
      <c r="H72" s="75" t="str">
        <f>$A$72</f>
        <v>2019 Sep</v>
      </c>
      <c r="I72" s="11">
        <f ca="1">_xll.DBRW($I$54,$I$56,$L$54,$H72,$I$55)</f>
        <v>0</v>
      </c>
      <c r="J72" s="2"/>
    </row>
    <row r="73" spans="1:10" x14ac:dyDescent="0.25">
      <c r="J73" s="2"/>
    </row>
    <row r="74" spans="1:10" x14ac:dyDescent="0.25">
      <c r="J74" s="2"/>
    </row>
    <row r="76" spans="1:10" x14ac:dyDescent="0.25">
      <c r="F76" s="62"/>
    </row>
  </sheetData>
  <mergeCells count="6">
    <mergeCell ref="A59:E59"/>
    <mergeCell ref="A1:C1"/>
    <mergeCell ref="D1:H1"/>
    <mergeCell ref="I1:M1"/>
    <mergeCell ref="N1:P1"/>
    <mergeCell ref="B46:M46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'SKU List'!$A$5:$A$70</xm:f>
          </x14:formula1>
          <xm:sqref>L54</xm:sqref>
        </x14:dataValidation>
        <x14:dataValidation type="list" allowBlank="1" showInputMessage="1" showErrorMessage="1">
          <x14:formula1>
            <xm:f>'SKU List'!$C$5:$C$70</xm:f>
          </x14:formula1>
          <xm:sqref>L55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3"/>
  <sheetViews>
    <sheetView workbookViewId="0">
      <selection activeCell="G10" sqref="G10"/>
    </sheetView>
  </sheetViews>
  <sheetFormatPr defaultRowHeight="15" x14ac:dyDescent="0.25"/>
  <cols>
    <col min="1" max="1" width="27.28515625" bestFit="1" customWidth="1"/>
    <col min="2" max="2" width="24.140625" bestFit="1" customWidth="1"/>
    <col min="3" max="3" width="14.7109375" bestFit="1" customWidth="1"/>
  </cols>
  <sheetData>
    <row r="1" spans="1:3" x14ac:dyDescent="0.25">
      <c r="A1" t="s">
        <v>1</v>
      </c>
      <c r="B1" t="str">
        <f ca="1">_xll.VIEW("ESPTM1:ProductInfo_SCM","!","!")</f>
        <v>ESPTM1:ProductInfo_SCM</v>
      </c>
    </row>
    <row r="4" spans="1:3" x14ac:dyDescent="0.25">
      <c r="A4" t="s">
        <v>110</v>
      </c>
      <c r="B4" t="s">
        <v>111</v>
      </c>
      <c r="C4" t="s">
        <v>112</v>
      </c>
    </row>
    <row r="5" spans="1:3" x14ac:dyDescent="0.25">
      <c r="A5" t="s">
        <v>113</v>
      </c>
      <c r="B5" s="69" t="str">
        <f ca="1">_xll.DBRW($B$1,$A5,B$4)</f>
        <v>EV-100</v>
      </c>
      <c r="C5" s="70" t="s">
        <v>114</v>
      </c>
    </row>
    <row r="6" spans="1:3" x14ac:dyDescent="0.25">
      <c r="A6" t="s">
        <v>115</v>
      </c>
      <c r="B6" s="69" t="str">
        <f ca="1">_xll.DBRW($B$1,$A6,B$4)</f>
        <v>EV-105</v>
      </c>
      <c r="C6" t="s">
        <v>116</v>
      </c>
    </row>
    <row r="7" spans="1:3" x14ac:dyDescent="0.25">
      <c r="A7" t="s">
        <v>117</v>
      </c>
      <c r="B7" s="69" t="str">
        <f ca="1">_xll.DBRW($B$1,$A7,B$4)</f>
        <v>EB-W50</v>
      </c>
      <c r="C7" t="s">
        <v>118</v>
      </c>
    </row>
    <row r="8" spans="1:3" x14ac:dyDescent="0.25">
      <c r="A8" t="s">
        <v>119</v>
      </c>
      <c r="B8" s="69" t="str">
        <f ca="1">_xll.DBRW($B$1,$A8,B$4)</f>
        <v>EB-U50</v>
      </c>
      <c r="C8" t="s">
        <v>120</v>
      </c>
    </row>
    <row r="9" spans="1:3" x14ac:dyDescent="0.25">
      <c r="A9" t="s">
        <v>121</v>
      </c>
      <c r="B9" s="69" t="str">
        <f ca="1">_xll.DBRW($B$1,$A9,B$4)</f>
        <v>EB-U50 (EIN)</v>
      </c>
      <c r="C9" t="s">
        <v>122</v>
      </c>
    </row>
    <row r="10" spans="1:3" x14ac:dyDescent="0.25">
      <c r="A10" t="s">
        <v>123</v>
      </c>
      <c r="B10" s="69" t="str">
        <f ca="1">_xll.DBRW($B$1,$A10,B$4)</f>
        <v>EB-X05</v>
      </c>
      <c r="C10" t="s">
        <v>124</v>
      </c>
    </row>
    <row r="11" spans="1:3" x14ac:dyDescent="0.25">
      <c r="A11" t="s">
        <v>125</v>
      </c>
      <c r="B11" s="69" t="str">
        <f ca="1">_xll.DBRW($B$1,$A11,B$4)</f>
        <v>EB-X400 (EIN)</v>
      </c>
      <c r="C11" t="s">
        <v>126</v>
      </c>
    </row>
    <row r="12" spans="1:3" x14ac:dyDescent="0.25">
      <c r="A12" t="s">
        <v>127</v>
      </c>
      <c r="B12" s="69" t="str">
        <f ca="1">_xll.DBRW($B$1,$A12,B$4)</f>
        <v>EB-W05</v>
      </c>
      <c r="C12" t="s">
        <v>128</v>
      </c>
    </row>
    <row r="13" spans="1:3" x14ac:dyDescent="0.25">
      <c r="A13" t="s">
        <v>129</v>
      </c>
      <c r="B13" s="69" t="str">
        <f ca="1">_xll.DBRW($B$1,$A13,B$4)</f>
        <v>EB-X41</v>
      </c>
      <c r="C13" t="s">
        <v>130</v>
      </c>
    </row>
    <row r="14" spans="1:3" x14ac:dyDescent="0.25">
      <c r="A14" t="s">
        <v>131</v>
      </c>
      <c r="B14" s="69" t="str">
        <f ca="1">_xll.DBRW($B$1,$A14,B$4)</f>
        <v>EB-X450 (EIN)</v>
      </c>
      <c r="C14" t="s">
        <v>132</v>
      </c>
    </row>
    <row r="15" spans="1:3" x14ac:dyDescent="0.25">
      <c r="A15" t="s">
        <v>133</v>
      </c>
      <c r="B15" s="69" t="str">
        <f ca="1">_xll.DBRW($B$1,$A15,B$4)</f>
        <v>EB-W41</v>
      </c>
      <c r="C15" t="s">
        <v>134</v>
      </c>
    </row>
    <row r="16" spans="1:3" x14ac:dyDescent="0.25">
      <c r="A16" t="s">
        <v>135</v>
      </c>
      <c r="B16" s="69" t="str">
        <f ca="1">_xll.DBRW($B$1,$A16,B$4)</f>
        <v>EB-U42</v>
      </c>
      <c r="C16" t="s">
        <v>136</v>
      </c>
    </row>
    <row r="17" spans="1:3" x14ac:dyDescent="0.25">
      <c r="A17" t="s">
        <v>137</v>
      </c>
      <c r="B17" s="69" t="str">
        <f ca="1">_xll.DBRW($B$1,$A17,B$4)</f>
        <v>EB-U42 (EIN)</v>
      </c>
      <c r="C17" t="s">
        <v>138</v>
      </c>
    </row>
    <row r="18" spans="1:3" x14ac:dyDescent="0.25">
      <c r="A18" t="s">
        <v>139</v>
      </c>
      <c r="B18" s="69" t="str">
        <f ca="1">_xll.DBRW($B$1,$A18,B$4)</f>
        <v>EB-X39</v>
      </c>
      <c r="C18" t="s">
        <v>140</v>
      </c>
    </row>
    <row r="19" spans="1:3" x14ac:dyDescent="0.25">
      <c r="A19" t="s">
        <v>141</v>
      </c>
      <c r="B19" s="69" t="str">
        <f ca="1">_xll.DBRW($B$1,$A19,B$4)</f>
        <v>EB-W39</v>
      </c>
      <c r="C19" t="s">
        <v>142</v>
      </c>
    </row>
    <row r="20" spans="1:3" x14ac:dyDescent="0.25">
      <c r="A20" t="s">
        <v>143</v>
      </c>
      <c r="B20" s="69" t="str">
        <f ca="1">_xll.DBRW($B$1,$A20,B$4)</f>
        <v>EB-965H</v>
      </c>
      <c r="C20" t="s">
        <v>144</v>
      </c>
    </row>
    <row r="21" spans="1:3" x14ac:dyDescent="0.25">
      <c r="A21" t="s">
        <v>145</v>
      </c>
      <c r="B21" s="69" t="str">
        <f ca="1">_xll.DBRW($B$1,$A21,B$4)</f>
        <v>EB-945H</v>
      </c>
      <c r="C21" t="s">
        <v>146</v>
      </c>
    </row>
    <row r="22" spans="1:3" x14ac:dyDescent="0.25">
      <c r="A22" t="s">
        <v>147</v>
      </c>
      <c r="B22" s="69" t="str">
        <f ca="1">_xll.DBRW($B$1,$A22,B$4)</f>
        <v>EB-980W</v>
      </c>
      <c r="C22" t="s">
        <v>148</v>
      </c>
    </row>
    <row r="23" spans="1:3" x14ac:dyDescent="0.25">
      <c r="A23" t="s">
        <v>149</v>
      </c>
      <c r="B23" s="69" t="str">
        <f ca="1">_xll.DBRW($B$1,$A23,B$4)</f>
        <v>EB-1785W</v>
      </c>
      <c r="C23" t="s">
        <v>150</v>
      </c>
    </row>
    <row r="24" spans="1:3" x14ac:dyDescent="0.25">
      <c r="A24" t="s">
        <v>151</v>
      </c>
      <c r="B24" s="69" t="str">
        <f ca="1">_xll.DBRW($B$1,$A24,B$4)</f>
        <v>EB-1785W (EIN)</v>
      </c>
      <c r="C24" t="s">
        <v>152</v>
      </c>
    </row>
    <row r="25" spans="1:3" x14ac:dyDescent="0.25">
      <c r="A25" t="s">
        <v>153</v>
      </c>
      <c r="B25" s="69" t="str">
        <f ca="1">_xll.DBRW($B$1,$A25,B$4)</f>
        <v>EB-1781W</v>
      </c>
      <c r="C25" t="s">
        <v>154</v>
      </c>
    </row>
    <row r="26" spans="1:3" x14ac:dyDescent="0.25">
      <c r="A26" t="s">
        <v>155</v>
      </c>
      <c r="B26" s="69" t="str">
        <f ca="1">_xll.DBRW($B$1,$A26,B$4)</f>
        <v>EB-1780W</v>
      </c>
      <c r="C26" t="s">
        <v>156</v>
      </c>
    </row>
    <row r="27" spans="1:3" x14ac:dyDescent="0.25">
      <c r="A27" t="s">
        <v>157</v>
      </c>
      <c r="B27" s="69" t="str">
        <f ca="1">_xll.DBRW($B$1,$A27,B$4)</f>
        <v>EB-1795F</v>
      </c>
      <c r="C27" t="s">
        <v>158</v>
      </c>
    </row>
    <row r="28" spans="1:3" x14ac:dyDescent="0.25">
      <c r="A28" t="s">
        <v>159</v>
      </c>
      <c r="B28" s="69" t="str">
        <f ca="1">_xll.DBRW($B$1,$A28,B$4)</f>
        <v>EB-1795F (EIN)</v>
      </c>
      <c r="C28" t="s">
        <v>160</v>
      </c>
    </row>
    <row r="29" spans="1:3" x14ac:dyDescent="0.25">
      <c r="A29" t="s">
        <v>161</v>
      </c>
      <c r="B29" s="69" t="str">
        <f ca="1">_xll.DBRW($B$1,$A29,B$4)</f>
        <v>EB-970</v>
      </c>
      <c r="C29" t="s">
        <v>162</v>
      </c>
    </row>
    <row r="30" spans="1:3" x14ac:dyDescent="0.25">
      <c r="A30" t="s">
        <v>163</v>
      </c>
      <c r="B30" s="69" t="str">
        <f ca="1">_xll.DBRW($B$1,$A30,B$4)</f>
        <v>EB-2042</v>
      </c>
      <c r="C30" t="s">
        <v>164</v>
      </c>
    </row>
    <row r="31" spans="1:3" x14ac:dyDescent="0.25">
      <c r="A31" t="s">
        <v>165</v>
      </c>
      <c r="B31" s="69" t="str">
        <f ca="1">_xll.DBRW($B$1,$A31,B$4)</f>
        <v>EB-2142W</v>
      </c>
      <c r="C31" t="s">
        <v>166</v>
      </c>
    </row>
    <row r="32" spans="1:3" x14ac:dyDescent="0.25">
      <c r="A32" t="s">
        <v>167</v>
      </c>
      <c r="B32" s="69" t="str">
        <f ca="1">_xll.DBRW($B$1,$A32,B$4)</f>
        <v>EB-2142W (EIN)</v>
      </c>
      <c r="C32" t="s">
        <v>168</v>
      </c>
    </row>
    <row r="33" spans="1:3" x14ac:dyDescent="0.25">
      <c r="A33" t="s">
        <v>169</v>
      </c>
      <c r="B33" s="69" t="str">
        <f ca="1">_xll.DBRW($B$1,$A33,B$4)</f>
        <v>EB-2247U</v>
      </c>
      <c r="C33" t="s">
        <v>170</v>
      </c>
    </row>
    <row r="34" spans="1:3" x14ac:dyDescent="0.25">
      <c r="A34" t="s">
        <v>171</v>
      </c>
      <c r="B34" s="69" t="str">
        <f ca="1">_xll.DBRW($B$1,$A34,B$4)</f>
        <v>EB-2247U (EIN)</v>
      </c>
      <c r="C34" t="s">
        <v>172</v>
      </c>
    </row>
    <row r="35" spans="1:3" x14ac:dyDescent="0.25">
      <c r="A35" t="s">
        <v>173</v>
      </c>
      <c r="B35" s="69" t="str">
        <f ca="1">_xll.DBRW($B$1,$A35,B$4)</f>
        <v>EB-2040</v>
      </c>
      <c r="C35" t="s">
        <v>174</v>
      </c>
    </row>
    <row r="36" spans="1:3" x14ac:dyDescent="0.25">
      <c r="A36" t="s">
        <v>175</v>
      </c>
      <c r="B36" s="69" t="str">
        <f ca="1">_xll.DBRW($B$1,$A36,B$4)</f>
        <v>EB-2265U</v>
      </c>
      <c r="C36" t="s">
        <v>176</v>
      </c>
    </row>
    <row r="37" spans="1:3" x14ac:dyDescent="0.25">
      <c r="A37" t="s">
        <v>177</v>
      </c>
      <c r="B37" s="69" t="str">
        <f ca="1">_xll.DBRW($B$1,$A37,B$4)</f>
        <v>EB-2265U (EIN)</v>
      </c>
      <c r="C37" t="s">
        <v>178</v>
      </c>
    </row>
    <row r="38" spans="1:3" x14ac:dyDescent="0.25">
      <c r="A38" t="s">
        <v>179</v>
      </c>
      <c r="B38" s="69" t="str">
        <f ca="1">_xll.DBRW($B$1,$A38,B$4)</f>
        <v>EB-2255U</v>
      </c>
      <c r="C38" t="s">
        <v>180</v>
      </c>
    </row>
    <row r="39" spans="1:3" x14ac:dyDescent="0.25">
      <c r="A39" t="s">
        <v>181</v>
      </c>
      <c r="B39" s="69" t="str">
        <f ca="1">_xll.DBRW($B$1,$A39,B$4)</f>
        <v>EB-2165W</v>
      </c>
      <c r="C39" t="s">
        <v>182</v>
      </c>
    </row>
    <row r="40" spans="1:3" x14ac:dyDescent="0.25">
      <c r="A40" t="s">
        <v>183</v>
      </c>
      <c r="B40" s="69" t="str">
        <f ca="1">_xll.DBRW($B$1,$A40,B$4)</f>
        <v>EB-2155W</v>
      </c>
      <c r="C40" t="s">
        <v>184</v>
      </c>
    </row>
    <row r="41" spans="1:3" x14ac:dyDescent="0.25">
      <c r="A41" t="s">
        <v>185</v>
      </c>
      <c r="B41" s="69" t="str">
        <f ca="1">_xll.DBRW($B$1,$A41,B$4)</f>
        <v>EB-2065</v>
      </c>
      <c r="C41" t="s">
        <v>186</v>
      </c>
    </row>
    <row r="42" spans="1:3" x14ac:dyDescent="0.25">
      <c r="A42" t="s">
        <v>187</v>
      </c>
      <c r="B42" s="69" t="str">
        <f ca="1">_xll.DBRW($B$1,$A42,B$4)</f>
        <v>EB-2055</v>
      </c>
      <c r="C42" t="s">
        <v>188</v>
      </c>
    </row>
    <row r="43" spans="1:3" x14ac:dyDescent="0.25">
      <c r="A43" t="s">
        <v>189</v>
      </c>
      <c r="B43" s="69" t="str">
        <f ca="1">_xll.DBRW($B$1,$A43,B$4)</f>
        <v>EB-L510U</v>
      </c>
      <c r="C43" t="s">
        <v>190</v>
      </c>
    </row>
    <row r="44" spans="1:3" x14ac:dyDescent="0.25">
      <c r="A44" t="s">
        <v>191</v>
      </c>
      <c r="B44" s="69" t="str">
        <f ca="1">_xll.DBRW($B$1,$A44,B$4)</f>
        <v>EB-L500W</v>
      </c>
      <c r="C44" t="s">
        <v>192</v>
      </c>
    </row>
    <row r="45" spans="1:3" x14ac:dyDescent="0.25">
      <c r="A45" t="s">
        <v>193</v>
      </c>
      <c r="B45" s="69" t="str">
        <f ca="1">_xll.DBRW($B$1,$A45,B$4)</f>
        <v>EB-5530U (EIN)</v>
      </c>
      <c r="C45" t="s">
        <v>194</v>
      </c>
    </row>
    <row r="46" spans="1:3" x14ac:dyDescent="0.25">
      <c r="A46" t="s">
        <v>195</v>
      </c>
      <c r="B46" s="69" t="str">
        <f ca="1">_xll.DBRW($B$1,$A46,B$4)</f>
        <v>EB-5520W</v>
      </c>
      <c r="C46" t="s">
        <v>196</v>
      </c>
    </row>
    <row r="47" spans="1:3" x14ac:dyDescent="0.25">
      <c r="A47" t="s">
        <v>197</v>
      </c>
      <c r="B47" s="69" t="str">
        <f ca="1">_xll.DBRW($B$1,$A47,B$4)</f>
        <v>EB-L610U</v>
      </c>
      <c r="C47" t="s">
        <v>198</v>
      </c>
    </row>
    <row r="48" spans="1:3" x14ac:dyDescent="0.25">
      <c r="A48" t="s">
        <v>199</v>
      </c>
      <c r="B48" s="69" t="str">
        <f ca="1">_xll.DBRW($B$1,$A48,B$4)</f>
        <v>EB-L610U (EIN)</v>
      </c>
      <c r="C48" t="s">
        <v>200</v>
      </c>
    </row>
    <row r="49" spans="1:3" x14ac:dyDescent="0.25">
      <c r="A49" t="s">
        <v>201</v>
      </c>
      <c r="B49" s="69" t="str">
        <f ca="1">_xll.DBRW($B$1,$A49,B$4)</f>
        <v>EB-L610W</v>
      </c>
      <c r="C49" t="s">
        <v>202</v>
      </c>
    </row>
    <row r="50" spans="1:3" x14ac:dyDescent="0.25">
      <c r="A50" t="s">
        <v>203</v>
      </c>
      <c r="B50" s="69" t="str">
        <f ca="1">_xll.DBRW($B$1,$A50,B$4)</f>
        <v>EB-536Wi</v>
      </c>
      <c r="C50" t="s">
        <v>204</v>
      </c>
    </row>
    <row r="51" spans="1:3" x14ac:dyDescent="0.25">
      <c r="A51" t="s">
        <v>205</v>
      </c>
      <c r="B51" s="69" t="str">
        <f ca="1">_xll.DBRW($B$1,$A51,B$4)</f>
        <v>EB-535W</v>
      </c>
      <c r="C51" t="s">
        <v>206</v>
      </c>
    </row>
    <row r="52" spans="1:3" x14ac:dyDescent="0.25">
      <c r="A52" t="s">
        <v>207</v>
      </c>
      <c r="B52" s="69" t="str">
        <f ca="1">_xll.DBRW($B$1,$A52,B$4)</f>
        <v>EB-530</v>
      </c>
      <c r="C52" t="s">
        <v>208</v>
      </c>
    </row>
    <row r="53" spans="1:3" x14ac:dyDescent="0.25">
      <c r="A53" t="s">
        <v>4</v>
      </c>
      <c r="B53" s="69" t="str">
        <f ca="1">_xll.DBRW($B$1,$A53,B$4)</f>
        <v>EB-S05</v>
      </c>
      <c r="C53" t="s">
        <v>8</v>
      </c>
    </row>
    <row r="54" spans="1:3" x14ac:dyDescent="0.25">
      <c r="A54" t="s">
        <v>209</v>
      </c>
      <c r="B54" s="69" t="str">
        <f ca="1">_xll.DBRW($B$1,$A54,B$4)</f>
        <v>EB-S400 (EIN)</v>
      </c>
      <c r="C54" t="s">
        <v>210</v>
      </c>
    </row>
    <row r="55" spans="1:3" x14ac:dyDescent="0.25">
      <c r="A55" t="s">
        <v>211</v>
      </c>
      <c r="B55" s="69" t="str">
        <f ca="1">_xll.DBRW($B$1,$A55,B$4)</f>
        <v>EB-S41</v>
      </c>
      <c r="C55" t="s">
        <v>212</v>
      </c>
    </row>
    <row r="56" spans="1:3" x14ac:dyDescent="0.25">
      <c r="A56" t="s">
        <v>213</v>
      </c>
      <c r="B56" s="69" t="str">
        <f ca="1">_xll.DBRW($B$1,$A56,B$4)</f>
        <v>EB-1460Ui</v>
      </c>
      <c r="C56" t="s">
        <v>214</v>
      </c>
    </row>
    <row r="57" spans="1:3" x14ac:dyDescent="0.25">
      <c r="A57" t="s">
        <v>215</v>
      </c>
      <c r="B57" s="69" t="str">
        <f ca="1">_xll.DBRW($B$1,$A57,B$4)</f>
        <v>EB-1460Ui (EIN)</v>
      </c>
      <c r="C57" t="s">
        <v>216</v>
      </c>
    </row>
    <row r="58" spans="1:3" x14ac:dyDescent="0.25">
      <c r="A58" t="s">
        <v>217</v>
      </c>
      <c r="B58" s="69" t="str">
        <f ca="1">_xll.DBRW($B$1,$A58,B$4)</f>
        <v>EB-1450Ui</v>
      </c>
      <c r="C58" t="s">
        <v>218</v>
      </c>
    </row>
    <row r="59" spans="1:3" x14ac:dyDescent="0.25">
      <c r="A59" t="s">
        <v>219</v>
      </c>
      <c r="B59" s="69" t="str">
        <f ca="1">_xll.DBRW($B$1,$A59,B$4)</f>
        <v>EB-696Ui</v>
      </c>
      <c r="C59" t="s">
        <v>220</v>
      </c>
    </row>
    <row r="60" spans="1:3" x14ac:dyDescent="0.25">
      <c r="A60" t="s">
        <v>221</v>
      </c>
      <c r="B60" s="69" t="str">
        <f ca="1">_xll.DBRW($B$1,$A60,B$4)</f>
        <v>EB-695Wi</v>
      </c>
      <c r="C60" t="s">
        <v>222</v>
      </c>
    </row>
    <row r="61" spans="1:3" x14ac:dyDescent="0.25">
      <c r="A61" t="s">
        <v>223</v>
      </c>
      <c r="B61" s="69" t="str">
        <f ca="1">_xll.DBRW($B$1,$A61,B$4)</f>
        <v>EB-685Wi</v>
      </c>
      <c r="C61" t="s">
        <v>224</v>
      </c>
    </row>
    <row r="62" spans="1:3" x14ac:dyDescent="0.25">
      <c r="A62" t="s">
        <v>225</v>
      </c>
      <c r="B62" s="69" t="str">
        <f ca="1">_xll.DBRW($B$1,$A62,B$4)</f>
        <v>EB-1470Ui</v>
      </c>
      <c r="C62" t="s">
        <v>226</v>
      </c>
    </row>
    <row r="63" spans="1:3" x14ac:dyDescent="0.25">
      <c r="A63" t="s">
        <v>227</v>
      </c>
      <c r="B63" s="69" t="str">
        <f ca="1">_xll.DBRW($B$1,$A63,B$4)</f>
        <v>EB-1470Ui (EIN)</v>
      </c>
      <c r="C63" t="s">
        <v>228</v>
      </c>
    </row>
    <row r="64" spans="1:3" x14ac:dyDescent="0.25">
      <c r="A64" t="s">
        <v>229</v>
      </c>
      <c r="B64" s="69" t="str">
        <f ca="1">_xll.DBRW($B$1,$A64,B$4)</f>
        <v>Lvf1</v>
      </c>
      <c r="C64" t="s">
        <v>230</v>
      </c>
    </row>
    <row r="65" spans="1:3" x14ac:dyDescent="0.25">
      <c r="A65" t="s">
        <v>231</v>
      </c>
      <c r="B65" s="69" t="str">
        <f ca="1">_xll.DBRW($B$1,$A65,B$4)</f>
        <v>Lvf1 (EIN)</v>
      </c>
      <c r="C65" t="s">
        <v>232</v>
      </c>
    </row>
    <row r="66" spans="1:3" x14ac:dyDescent="0.25">
      <c r="A66" t="s">
        <v>233</v>
      </c>
      <c r="B66" s="69" t="str">
        <f ca="1">_xll.DBRW($B$1,$A66,B$4)</f>
        <v>EB-685W</v>
      </c>
      <c r="C66" t="s">
        <v>234</v>
      </c>
    </row>
    <row r="67" spans="1:3" x14ac:dyDescent="0.25">
      <c r="A67" t="s">
        <v>235</v>
      </c>
      <c r="B67" s="69" t="str">
        <f ca="1">_xll.DBRW($B$1,$A67,B$4)</f>
        <v>EB-680</v>
      </c>
      <c r="C67" t="s">
        <v>236</v>
      </c>
    </row>
    <row r="68" spans="1:3" x14ac:dyDescent="0.25">
      <c r="A68" t="s">
        <v>237</v>
      </c>
      <c r="B68" s="69" t="str">
        <f ca="1">_xll.DBRW($B$1,$A68,B$4)</f>
        <v>EB-700U</v>
      </c>
      <c r="C68" t="s">
        <v>238</v>
      </c>
    </row>
    <row r="69" spans="1:3" x14ac:dyDescent="0.25">
      <c r="A69" t="s">
        <v>239</v>
      </c>
      <c r="B69" s="69" t="str">
        <f ca="1">_xll.DBRW($B$1,$A69,B$4)</f>
        <v>Lvf2s (WH)</v>
      </c>
      <c r="C69" t="s">
        <v>240</v>
      </c>
    </row>
    <row r="70" spans="1:3" x14ac:dyDescent="0.25">
      <c r="A70" t="s">
        <v>241</v>
      </c>
      <c r="B70" s="69" t="str">
        <f ca="1">_xll.DBRW($B$1,$A70,B$4)</f>
        <v>Lvf2s (BK)</v>
      </c>
      <c r="C70" t="s">
        <v>242</v>
      </c>
    </row>
    <row r="71" spans="1:3" x14ac:dyDescent="0.25">
      <c r="A71" s="71"/>
    </row>
    <row r="72" spans="1:3" x14ac:dyDescent="0.25">
      <c r="A72" s="71"/>
    </row>
    <row r="73" spans="1:3" x14ac:dyDescent="0.25">
      <c r="A73" s="71"/>
    </row>
    <row r="74" spans="1:3" x14ac:dyDescent="0.25">
      <c r="A74" s="71"/>
    </row>
    <row r="75" spans="1:3" x14ac:dyDescent="0.25">
      <c r="A75" s="71"/>
    </row>
    <row r="76" spans="1:3" x14ac:dyDescent="0.25">
      <c r="A76" s="71"/>
    </row>
    <row r="77" spans="1:3" x14ac:dyDescent="0.25">
      <c r="A77" s="71"/>
    </row>
    <row r="78" spans="1:3" x14ac:dyDescent="0.25">
      <c r="A78" s="71"/>
    </row>
    <row r="79" spans="1:3" x14ac:dyDescent="0.25">
      <c r="A79" s="71"/>
    </row>
    <row r="80" spans="1:3" x14ac:dyDescent="0.25">
      <c r="A80" s="71"/>
    </row>
    <row r="81" spans="1:1" x14ac:dyDescent="0.25">
      <c r="A81" s="71"/>
    </row>
    <row r="82" spans="1:1" x14ac:dyDescent="0.25">
      <c r="A82" s="71"/>
    </row>
    <row r="83" spans="1:1" x14ac:dyDescent="0.25">
      <c r="A83" s="71"/>
    </row>
    <row r="84" spans="1:1" x14ac:dyDescent="0.25">
      <c r="A84" s="71"/>
    </row>
    <row r="85" spans="1:1" x14ac:dyDescent="0.25">
      <c r="A85" s="71"/>
    </row>
    <row r="86" spans="1:1" x14ac:dyDescent="0.25">
      <c r="A86" s="71"/>
    </row>
    <row r="87" spans="1:1" x14ac:dyDescent="0.25">
      <c r="A87" s="71"/>
    </row>
    <row r="88" spans="1:1" x14ac:dyDescent="0.25">
      <c r="A88" s="71"/>
    </row>
    <row r="89" spans="1:1" x14ac:dyDescent="0.25">
      <c r="A89" s="71"/>
    </row>
    <row r="90" spans="1:1" x14ac:dyDescent="0.25">
      <c r="A90" s="71"/>
    </row>
    <row r="91" spans="1:1" x14ac:dyDescent="0.25">
      <c r="A91" s="71"/>
    </row>
    <row r="92" spans="1:1" x14ac:dyDescent="0.25">
      <c r="A92" s="71"/>
    </row>
    <row r="93" spans="1:1" x14ac:dyDescent="0.25">
      <c r="A93" s="71"/>
    </row>
    <row r="94" spans="1:1" x14ac:dyDescent="0.25">
      <c r="A94" s="71"/>
    </row>
    <row r="95" spans="1:1" x14ac:dyDescent="0.25">
      <c r="A95" s="71"/>
    </row>
    <row r="96" spans="1:1" x14ac:dyDescent="0.25">
      <c r="A96" s="71"/>
    </row>
    <row r="97" spans="1:1" x14ac:dyDescent="0.25">
      <c r="A97" s="71"/>
    </row>
    <row r="98" spans="1:1" x14ac:dyDescent="0.25">
      <c r="A98" s="71"/>
    </row>
    <row r="99" spans="1:1" x14ac:dyDescent="0.25">
      <c r="A99" s="71"/>
    </row>
    <row r="100" spans="1:1" x14ac:dyDescent="0.25">
      <c r="A100" s="71"/>
    </row>
    <row r="101" spans="1:1" x14ac:dyDescent="0.25">
      <c r="A101" s="71"/>
    </row>
    <row r="102" spans="1:1" x14ac:dyDescent="0.25">
      <c r="A102" s="71"/>
    </row>
    <row r="103" spans="1:1" x14ac:dyDescent="0.25">
      <c r="A103" s="71"/>
    </row>
    <row r="104" spans="1:1" x14ac:dyDescent="0.25">
      <c r="A104" s="71"/>
    </row>
    <row r="105" spans="1:1" x14ac:dyDescent="0.25">
      <c r="A105" s="71"/>
    </row>
    <row r="106" spans="1:1" x14ac:dyDescent="0.25">
      <c r="A106" s="71"/>
    </row>
    <row r="107" spans="1:1" x14ac:dyDescent="0.25">
      <c r="A107" s="71"/>
    </row>
    <row r="108" spans="1:1" x14ac:dyDescent="0.25">
      <c r="A108" s="71"/>
    </row>
    <row r="109" spans="1:1" x14ac:dyDescent="0.25">
      <c r="A109" s="71"/>
    </row>
    <row r="110" spans="1:1" x14ac:dyDescent="0.25">
      <c r="A110" s="71"/>
    </row>
    <row r="111" spans="1:1" x14ac:dyDescent="0.25">
      <c r="A111" s="71"/>
    </row>
    <row r="112" spans="1:1" x14ac:dyDescent="0.25">
      <c r="A112" s="71"/>
    </row>
    <row r="113" spans="1:1" x14ac:dyDescent="0.25">
      <c r="A113" s="71"/>
    </row>
    <row r="114" spans="1:1" x14ac:dyDescent="0.25">
      <c r="A114" s="71"/>
    </row>
    <row r="115" spans="1:1" x14ac:dyDescent="0.25">
      <c r="A115" s="71"/>
    </row>
    <row r="116" spans="1:1" x14ac:dyDescent="0.25">
      <c r="A116" s="71"/>
    </row>
    <row r="117" spans="1:1" x14ac:dyDescent="0.25">
      <c r="A117" s="71"/>
    </row>
    <row r="118" spans="1:1" x14ac:dyDescent="0.25">
      <c r="A118" s="71"/>
    </row>
    <row r="119" spans="1:1" x14ac:dyDescent="0.25">
      <c r="A119" s="71"/>
    </row>
    <row r="120" spans="1:1" x14ac:dyDescent="0.25">
      <c r="A120" s="71"/>
    </row>
    <row r="121" spans="1:1" x14ac:dyDescent="0.25">
      <c r="A121" s="71"/>
    </row>
    <row r="122" spans="1:1" x14ac:dyDescent="0.25">
      <c r="A122" s="71"/>
    </row>
    <row r="123" spans="1:1" x14ac:dyDescent="0.25">
      <c r="A123" s="71"/>
    </row>
    <row r="124" spans="1:1" x14ac:dyDescent="0.25">
      <c r="A124" s="71"/>
    </row>
    <row r="125" spans="1:1" x14ac:dyDescent="0.25">
      <c r="A125" s="71"/>
    </row>
    <row r="126" spans="1:1" x14ac:dyDescent="0.25">
      <c r="A126" s="71"/>
    </row>
    <row r="127" spans="1:1" x14ac:dyDescent="0.25">
      <c r="A127" s="71"/>
    </row>
    <row r="128" spans="1:1" x14ac:dyDescent="0.25">
      <c r="A128" s="71"/>
    </row>
    <row r="129" spans="1:1" x14ac:dyDescent="0.25">
      <c r="A129" s="71"/>
    </row>
    <row r="130" spans="1:1" x14ac:dyDescent="0.25">
      <c r="A130" s="71"/>
    </row>
    <row r="131" spans="1:1" x14ac:dyDescent="0.25">
      <c r="A131" s="71"/>
    </row>
    <row r="132" spans="1:1" x14ac:dyDescent="0.25">
      <c r="A132" s="71"/>
    </row>
    <row r="133" spans="1:1" x14ac:dyDescent="0.25">
      <c r="A133" s="7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Step 1 - Trending</vt:lpstr>
      <vt:lpstr>Step 2 - Model Validation</vt:lpstr>
      <vt:lpstr>Step 3 - Final Forecasts</vt:lpstr>
      <vt:lpstr>SKU List</vt:lpstr>
    </vt:vector>
  </TitlesOfParts>
  <Company>Epson Singapore Pte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(TEMP) ONG ZHEN YANG</dc:creator>
  <cp:lastModifiedBy>(TEMP) ONG ZHEN YANG</cp:lastModifiedBy>
  <dcterms:created xsi:type="dcterms:W3CDTF">2019-04-24T01:00:21Z</dcterms:created>
  <dcterms:modified xsi:type="dcterms:W3CDTF">2019-04-30T01:33:53Z</dcterms:modified>
</cp:coreProperties>
</file>